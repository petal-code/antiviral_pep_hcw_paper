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2dacd9cd204a5b" /></Relationships>
</file>

<file path=xl/workbook.xml><?xml version="1.0" encoding="utf-8"?>
<x:workbook xmlns:x="http://schemas.openxmlformats.org/spreadsheetml/2006/main">
  <x:sheets>
    <x:sheet xmlns:r="http://schemas.openxmlformats.org/officeDocument/2006/relationships" name="Worst_WestAfrica" sheetId="1" r:id="Ra89dc5912e9e40ed"/>
    <x:sheet xmlns:r="http://schemas.openxmlformats.org/officeDocument/2006/relationships" name="Middle_DRC_2018_2019" sheetId="2" r:id="R9b5daf843deb4bc7"/>
    <x:sheet xmlns:r="http://schemas.openxmlformats.org/officeDocument/2006/relationships" name="Best_Composite" sheetId="3" r:id="R6be9fc1fbcc04706"/>
    <x:sheet xmlns:r="http://schemas.openxmlformats.org/officeDocument/2006/relationships" name="Curve_Settings" sheetId="4" r:id="R34146b51cd904398"/>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x:numFmt numFmtId="165" formatCode="0.0000"/>
  </x:numFmts>
  <x:fonts count="9">
    <x:font>
      <x:sz val="11"/>
      <x:color theme="1"/>
      <x:name val="Calibri"/>
      <x:family val="2"/>
      <x:scheme val="minor"/>
    </x:font>
    <x:font>
      <x:b/>
      <x:sz val="12"/>
      <x:color rgb="00FFFFFF"/>
    </x:font>
    <x:font>
      <x:i/>
      <x:color rgb="00404040"/>
    </x:font>
    <x:font>
      <x:b/>
      <x:color rgb="00000000"/>
    </x:font>
    <x:font>
      <x:color rgb="000000FF"/>
    </x:font>
    <x:font>
      <x:color rgb="00000000"/>
    </x:font>
    <x:font>
      <x:color rgb="00666666"/>
    </x:font>
    <x:font>
      <x:b/>
      <x:color rgb="00FFFFFF"/>
    </x:font>
    <x:font>
      <x:b/>
      <x:sz val="12"/>
    </x:font>
  </x:fonts>
  <x:fills count="5">
    <x:fill>
      <x:patternFill patternType="none"/>
    </x:fill>
    <x:fill>
      <x:patternFill patternType="gray125"/>
    </x:fill>
    <x:fill>
      <x:patternFill patternType="solid">
        <x:fgColor rgb="001F4E78"/>
      </x:patternFill>
    </x:fill>
    <x:fill>
      <x:patternFill patternType="solid">
        <x:fgColor rgb="00F3F6F9"/>
      </x:patternFill>
    </x:fill>
    <x:fill>
      <x:patternFill patternType="solid">
        <x:fgColor rgb="00D9EAF7"/>
      </x:patternFill>
    </x:fill>
  </x:fills>
  <x:borders count="2">
    <x:border>
      <x:left/>
      <x:right/>
      <x:top/>
      <x:bottom/>
      <x:diagonal/>
    </x:border>
    <x:border>
      <x:bottom style="thin">
        <x:color rgb="00D9D9D9"/>
      </x:bottom>
    </x:border>
  </x:borders>
  <x:cellStyleXfs count="1">
    <x:xf numFmtId="0" fontId="0" fillId="0" borderId="0"/>
  </x:cellStyleXfs>
  <x:cellXfs count="14">
    <x:xf numFmtId="0" fontId="0" fillId="0" borderId="0" xfId="0"/>
    <x:xf numFmtId="0" fontId="1" fillId="2" borderId="0" xfId="0"/>
    <x:xf numFmtId="0" fontId="2" fillId="3" borderId="0" xfId="0" applyAlignment="1">
      <x:alignment vertical="top" wrapText="1"/>
    </x:xf>
    <x:xf numFmtId="0" fontId="3" fillId="4" borderId="0" xfId="0" applyAlignment="1">
      <x:alignment horizontal="center" vertical="center" wrapText="1"/>
    </x:xf>
    <x:xf numFmtId="1" fontId="6" fillId="0" borderId="0" xfId="0"/>
    <x:xf numFmtId="164" fontId="0" fillId="0" borderId="0" xfId="0"/>
    <x:xf numFmtId="165" fontId="4" fillId="0" borderId="0" xfId="0"/>
    <x:xf numFmtId="0" fontId="4" fillId="0" borderId="0" xfId="0"/>
    <x:xf numFmtId="165" fontId="5" fillId="0" borderId="0" xfId="0"/>
    <x:xf numFmtId="165" fontId="6" fillId="0" borderId="0" xfId="0"/>
    <x:xf numFmtId="0" fontId="8" fillId="2" borderId="0" xfId="0"/>
    <x:xf numFmtId="0" fontId="7" fillId="2" borderId="1" xfId="0" applyAlignment="1">
      <x:alignment horizontal="center" vertical="center" wrapText="1"/>
    </x:xf>
    <x:xf numFmtId="0" fontId="0" fillId="0" borderId="0" xfId="0" applyAlignment="1">
      <x:alignment vertical="top" wrapText="1"/>
    </x:xf>
    <x:xf numFmtId="0" fontId="7" fillId="2" borderId="1" xfId="0"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3d60fdd6f054c08" /><Relationship Type="http://schemas.openxmlformats.org/officeDocument/2006/relationships/theme" Target="/xl/theme/theme1.xml" Id="Rdb94325aa037412b" /><Relationship Type="http://schemas.openxmlformats.org/officeDocument/2006/relationships/sharedStrings" Target="/xl/sharedStrings.xml" Id="R8f3e30c01054425f" /><Relationship Type="http://schemas.openxmlformats.org/officeDocument/2006/relationships/worksheet" Target="/xl/worksheets/sheet1.xml" Id="Ra89dc5912e9e40ed" /><Relationship Type="http://schemas.openxmlformats.org/officeDocument/2006/relationships/worksheet" Target="/xl/worksheets/sheet2.xml" Id="R9b5daf843deb4bc7" /><Relationship Type="http://schemas.openxmlformats.org/officeDocument/2006/relationships/worksheet" Target="/xl/worksheets/sheet3.xml" Id="R6be9fc1fbcc04706" /><Relationship Type="http://schemas.openxmlformats.org/officeDocument/2006/relationships/worksheet" Target="/xl/worksheets/sheet4.xml" Id="R34146b51cd904398" /></Relationships>
</file>

<file path=xl/tables/table1.xml><?xml version="1.0" encoding="utf-8"?>
<x:table xmlns:x="http://schemas.openxmlformats.org/spreadsheetml/2006/main" id="1" name="Worst_WestAfrica_tbl" displayName="Worst_WestAfrica_tbl" ref="A3:Y37" headerRowCount="1">
  <x:autoFilter ref="A3:Y37"/>
  <x:tableColumns count="25">
    <x:tableColumn id="1" name="anchor_id"/>
    <x:tableColumn id="2" name="parameter"/>
    <x:tableColumn id="3" name="relative_day"/>
    <x:tableColumn id="4" name="source_date"/>
    <x:tableColumn id="5" name="outbreak_source"/>
    <x:tableColumn id="6" name="location"/>
    <x:tableColumn id="7" name="derivation_type"/>
    <x:tableColumn id="8" name="manual_value"/>
    <x:tableColumn id="9" name="numerator"/>
    <x:tableColumn id="10" name="denominator"/>
    <x:tableColumn id="11" name="value_used"/>
    <x:tableColumn id="12" name="units"/>
    <x:tableColumn id="13" name="fit_role"/>
    <x:tableColumn id="14" name="evidence_tier"/>
    <x:tableColumn id="15" name="include_in_fit"/>
    <x:tableColumn id="16" name="weight"/>
    <x:tableColumn id="17" name="direction"/>
    <x:tableColumn id="18" name="lower_bound"/>
    <x:tableColumn id="19" name="upper_bound"/>
    <x:tableColumn id="20" name="source_short"/>
    <x:tableColumn id="21" name="source_type"/>
    <x:tableColumn id="22" name="source_url"/>
    <x:tableColumn id="23" name="supporting_url"/>
    <x:tableColumn id="24" name="source_note"/>
    <x:tableColumn id="25" name="derivation_note"/>
  </x:tableColumns>
  <x:tableStyleInfo name="TableStyleMedium2" showRowStripes="1"/>
</x:table>
</file>

<file path=xl/tables/table2.xml><?xml version="1.0" encoding="utf-8"?>
<x:table xmlns:x="http://schemas.openxmlformats.org/spreadsheetml/2006/main" id="2" name="Middle_DRC_2018_2019_tbl" displayName="Middle_DRC_2018_2019_tbl" ref="A3:Y25" headerRowCount="1">
  <x:autoFilter ref="A3:Y25"/>
  <x:tableColumns count="25">
    <x:tableColumn id="1" name="anchor_id"/>
    <x:tableColumn id="2" name="parameter"/>
    <x:tableColumn id="3" name="relative_day"/>
    <x:tableColumn id="4" name="source_date"/>
    <x:tableColumn id="5" name="outbreak_source"/>
    <x:tableColumn id="6" name="location"/>
    <x:tableColumn id="7" name="derivation_type"/>
    <x:tableColumn id="8" name="manual_value"/>
    <x:tableColumn id="9" name="numerator"/>
    <x:tableColumn id="10" name="denominator"/>
    <x:tableColumn id="11" name="value_used"/>
    <x:tableColumn id="12" name="units"/>
    <x:tableColumn id="13" name="fit_role"/>
    <x:tableColumn id="14" name="evidence_tier"/>
    <x:tableColumn id="15" name="include_in_fit"/>
    <x:tableColumn id="16" name="weight"/>
    <x:tableColumn id="17" name="direction"/>
    <x:tableColumn id="18" name="lower_bound"/>
    <x:tableColumn id="19" name="upper_bound"/>
    <x:tableColumn id="20" name="source_short"/>
    <x:tableColumn id="21" name="source_type"/>
    <x:tableColumn id="22" name="source_url"/>
    <x:tableColumn id="23" name="supporting_url"/>
    <x:tableColumn id="24" name="source_note"/>
    <x:tableColumn id="25" name="derivation_note"/>
  </x:tableColumns>
  <x:tableStyleInfo name="TableStyleMedium2" showRowStripes="1"/>
</x:table>
</file>

<file path=xl/tables/table3.xml><?xml version="1.0" encoding="utf-8"?>
<x:table xmlns:x="http://schemas.openxmlformats.org/spreadsheetml/2006/main" id="3" name="Best_Composite_tbl" displayName="Best_Composite_tbl" ref="A3:Y22" headerRowCount="1">
  <x:autoFilter ref="A3:Y22"/>
  <x:tableColumns count="25">
    <x:tableColumn id="1" name="anchor_id"/>
    <x:tableColumn id="2" name="parameter"/>
    <x:tableColumn id="3" name="relative_day"/>
    <x:tableColumn id="4" name="source_date"/>
    <x:tableColumn id="5" name="outbreak_source"/>
    <x:tableColumn id="6" name="location"/>
    <x:tableColumn id="7" name="derivation_type"/>
    <x:tableColumn id="8" name="manual_value"/>
    <x:tableColumn id="9" name="numerator"/>
    <x:tableColumn id="10" name="denominator"/>
    <x:tableColumn id="11" name="value_used"/>
    <x:tableColumn id="12" name="units"/>
    <x:tableColumn id="13" name="fit_role"/>
    <x:tableColumn id="14" name="evidence_tier"/>
    <x:tableColumn id="15" name="include_in_fit"/>
    <x:tableColumn id="16" name="weight"/>
    <x:tableColumn id="17" name="direction"/>
    <x:tableColumn id="18" name="lower_bound"/>
    <x:tableColumn id="19" name="upper_bound"/>
    <x:tableColumn id="20" name="source_short"/>
    <x:tableColumn id="21" name="source_type"/>
    <x:tableColumn id="22" name="source_url"/>
    <x:tableColumn id="23" name="supporting_url"/>
    <x:tableColumn id="24" name="source_note"/>
    <x:tableColumn id="25" name="derivation_note"/>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023decf30844d4" /></Relationships>
</file>

<file path=xl/worksheets/_rels/sheet2.xml.rels>&#65279;<?xml version="1.0" encoding="utf-8"?><Relationships xmlns="http://schemas.openxmlformats.org/package/2006/relationships"><Relationship Type="http://schemas.openxmlformats.org/officeDocument/2006/relationships/table" Target="/xl/tables/table2.xml" Id="Rc3ac92ad314b4ddf" /></Relationships>
</file>

<file path=xl/worksheets/_rels/sheet3.xml.rels>&#65279;<?xml version="1.0" encoding="utf-8"?><Relationships xmlns="http://schemas.openxmlformats.org/package/2006/relationships"><Relationship Type="http://schemas.openxmlformats.org/officeDocument/2006/relationships/table" Target="/xl/tables/table3.xml" Id="R814b607081224494" /></Relationships>
</file>

<file path=xl/worksheets/sheet1.xml><?xml version="1.0" encoding="utf-8"?>
<x:worksheet xmlns:x="http://schemas.openxmlformats.org/spreadsheetml/2006/main">
  <x:sheetFormatPr baseColWidth="8" defaultRowHeight="15"/>
  <x:cols>
    <x:col min="1" max="1" width="14" customWidth="1"/>
    <x:col min="2" max="2" width="24" customWidth="1"/>
    <x:col min="3" max="3" width="12" customWidth="1"/>
    <x:col min="4" max="4" width="12" customWidth="1"/>
    <x:col min="5" max="5" width="22" customWidth="1"/>
    <x:col min="6" max="6" width="18" customWidth="1"/>
    <x:col min="7" max="7" width="16" customWidth="1"/>
    <x:col min="8" max="8" width="10" customWidth="1"/>
    <x:col min="9" max="9" width="10" customWidth="1"/>
    <x:col min="10" max="10" width="11" customWidth="1"/>
    <x:col min="11" max="11" width="10" customWidth="1"/>
    <x:col min="12" max="12" width="12" customWidth="1"/>
    <x:col min="13" max="13" width="12" customWidth="1"/>
    <x:col min="14" max="14" width="12" customWidth="1"/>
    <x:col min="15" max="15" width="12" customWidth="1"/>
    <x:col min="16" max="16" width="8" customWidth="1"/>
    <x:col min="17" max="17" width="10" customWidth="1"/>
    <x:col min="18" max="18" width="11" customWidth="1"/>
    <x:col min="19" max="19" width="11" customWidth="1"/>
    <x:col min="20" max="20" width="28" customWidth="1"/>
    <x:col min="21" max="21" width="14" customWidth="1"/>
    <x:col min="22" max="22" width="36" customWidth="1"/>
    <x:col min="23" max="23" width="30" customWidth="1"/>
    <x:col min="24" max="24" width="50" customWidth="1"/>
    <x:col min="25" max="25" width="45" customWidth="1"/>
  </x:cols>
  <x:sheetData>
    <x:row r="1" ht="22" customHeight="1">
      <x:c r="A1" s="10" t="inlineStr">
        <x:is>
          <x:t xml:space="preserve">Worst WestAfrica literature anchors</x:t>
        </x:is>
      </x:c>
    </x:row>
    <x:row r="2" ht="50" customHeight="1">
      <x:c r="A2" s="2" t="inlineStr">
        <x:is>
          <x:t xml:space="preserve">Systematic scenario-audit sheet for pooled filovirus NPI curves. Relative day is days since outbreak declaration/start for that scenario; Best_Composite uses outbreak-specific day 0 for each contributing outbreak; DRC analogue rows use response-day alignment rather than calendar distance. Rows marked include_in_fit=YES inform the pooled-Q fit; support_only rows are retained because they are materially relevant literature but were not used directly in the smooth fit. value_used is formula-driven from manual_value / numerator / denominator.</x:t>
        </x:is>
      </x:c>
    </x:row>
    <x:row r="3">
      <x:c r="A3" s="11" t="inlineStr">
        <x:is>
          <x:t xml:space="preserve">anchor_id</x:t>
        </x:is>
      </x:c>
      <x:c r="B3" s="11" t="inlineStr">
        <x:is>
          <x:t xml:space="preserve">parameter</x:t>
        </x:is>
      </x:c>
      <x:c r="C3" s="11" t="inlineStr">
        <x:is>
          <x:t xml:space="preserve">relative_day</x:t>
        </x:is>
      </x:c>
      <x:c r="D3" s="11" t="inlineStr">
        <x:is>
          <x:t xml:space="preserve">source_date</x:t>
        </x:is>
      </x:c>
      <x:c r="E3" s="11" t="inlineStr">
        <x:is>
          <x:t xml:space="preserve">outbreak_source</x:t>
        </x:is>
      </x:c>
      <x:c r="F3" s="11" t="inlineStr">
        <x:is>
          <x:t xml:space="preserve">location</x:t>
        </x:is>
      </x:c>
      <x:c r="G3" s="11" t="inlineStr">
        <x:is>
          <x:t xml:space="preserve">derivation_type</x:t>
        </x:is>
      </x:c>
      <x:c r="H3" s="11" t="inlineStr">
        <x:is>
          <x:t xml:space="preserve">manual_value</x:t>
        </x:is>
      </x:c>
      <x:c r="I3" s="11" t="inlineStr">
        <x:is>
          <x:t xml:space="preserve">numerator</x:t>
        </x:is>
      </x:c>
      <x:c r="J3" s="11" t="inlineStr">
        <x:is>
          <x:t xml:space="preserve">denominator</x:t>
        </x:is>
      </x:c>
      <x:c r="K3" s="11" t="inlineStr">
        <x:is>
          <x:t xml:space="preserve">value_used</x:t>
        </x:is>
      </x:c>
      <x:c r="L3" s="11" t="inlineStr">
        <x:is>
          <x:t xml:space="preserve">units</x:t>
        </x:is>
      </x:c>
      <x:c r="M3" s="11" t="inlineStr">
        <x:is>
          <x:t xml:space="preserve">fit_role</x:t>
        </x:is>
      </x:c>
      <x:c r="N3" s="11" t="inlineStr">
        <x:is>
          <x:t xml:space="preserve">evidence_tier</x:t>
        </x:is>
      </x:c>
      <x:c r="O3" s="11" t="inlineStr">
        <x:is>
          <x:t xml:space="preserve">include_in_fit</x:t>
        </x:is>
      </x:c>
      <x:c r="P3" s="11" t="inlineStr">
        <x:is>
          <x:t xml:space="preserve">weight</x:t>
        </x:is>
      </x:c>
      <x:c r="Q3" s="11" t="inlineStr">
        <x:is>
          <x:t xml:space="preserve">direction</x:t>
        </x:is>
      </x:c>
      <x:c r="R3" s="11" t="inlineStr">
        <x:is>
          <x:t xml:space="preserve">lower_bound</x:t>
        </x:is>
      </x:c>
      <x:c r="S3" s="11" t="inlineStr">
        <x:is>
          <x:t xml:space="preserve">upper_bound</x:t>
        </x:is>
      </x:c>
      <x:c r="T3" s="11" t="inlineStr">
        <x:is>
          <x:t xml:space="preserve">source_short</x:t>
        </x:is>
      </x:c>
      <x:c r="U3" s="11" t="inlineStr">
        <x:is>
          <x:t xml:space="preserve">source_type</x:t>
        </x:is>
      </x:c>
      <x:c r="V3" s="11" t="inlineStr">
        <x:is>
          <x:t xml:space="preserve">source_url</x:t>
        </x:is>
      </x:c>
      <x:c r="W3" s="11" t="inlineStr">
        <x:is>
          <x:t xml:space="preserve">supporting_url</x:t>
        </x:is>
      </x:c>
      <x:c r="X3" s="11" t="inlineStr">
        <x:is>
          <x:t xml:space="preserve">source_note</x:t>
        </x:is>
      </x:c>
      <x:c r="Y3" s="11" t="inlineStr">
        <x:is>
          <x:t xml:space="preserve">derivation_note</x:t>
        </x:is>
      </x:c>
    </x:row>
    <x:row r="4">
      <x:c r="A4" t="inlineStr">
        <x:is>
          <x:t xml:space="preserve">WA_DH_01</x:t>
        </x:is>
      </x:c>
      <x:c r="B4" t="inlineStr">
        <x:is>
          <x:t xml:space="preserve">delay_hosp</x:t>
        </x:is>
      </x:c>
      <x:c r="C4" s="4" t="n">
        <x:v>31</x:v>
      </x:c>
      <x:c r="D4" s="5" t="n">
        <x:v>41752</x:v>
      </x:c>
      <x:c r="E4" t="inlineStr">
        <x:is>
          <x:t xml:space="preserve">West Africa 2014-2015</x:t>
        </x:is>
      </x:c>
      <x:c r="F4" t="inlineStr">
        <x:is>
          <x:t xml:space="preserve">Regional</x:t>
        </x:is>
      </x:c>
      <x:c r="G4" t="inlineStr">
        <x:is>
          <x:t xml:space="preserve">manual</x:t>
        </x:is>
      </x:c>
      <x:c r="H4" s="6" t="n">
        <x:v>5</x:v>
      </x:c>
      <x:c r="I4" s="7" t="n"/>
      <x:c r="J4" s="7" t="n"/>
      <x:c r="K4" s="8">
        <x:f>IF(G4="manual",H4,IF(G4="ratio",IFERROR(I4/J4,""),IF(G4="one_minus_ratio",IFERROR(1-(I4/J4),""),"")))</x:f>
        <x:v>5</x:v>
      </x:c>
      <x:c r="L4" t="inlineStr">
        <x:is>
          <x:t xml:space="preserve">days</x:t>
        </x:is>
      </x:c>
      <x:c r="M4" t="inlineStr">
        <x:is>
          <x:t xml:space="preserve">main_fit</x:t>
        </x:is>
      </x:c>
      <x:c r="N4" t="inlineStr">
        <x:is>
          <x:t xml:space="preserve">direct_observed</x:t>
        </x:is>
      </x:c>
      <x:c r="O4" t="inlineStr">
        <x:is>
          <x:t xml:space="preserve">YES</x:t>
        </x:is>
      </x:c>
      <x:c r="P4" s="9" t="n">
        <x:v>1</x:v>
      </x:c>
      <x:c r="Q4" t="inlineStr">
        <x:is>
          <x:t xml:space="preserve">down</x:t>
        </x:is>
      </x:c>
      <x:c r="R4" s="9" t="n">
        <x:v>1.5</x:v>
      </x:c>
      <x:c r="S4" s="9" t="n">
        <x:v>6.5</x:v>
      </x:c>
      <x:c r="T4" t="inlineStr">
        <x:is>
          <x:t xml:space="preserve">WHO Ebola Response Team 2014</x:t>
        </x:is>
      </x:c>
      <x:c r="U4" t="inlineStr">
        <x:is>
          <x:t xml:space="preserve">peer-reviewed line-list analysis</x:t>
        </x:is>
      </x:c>
      <x:c r="V4" t="inlineStr">
        <x:is>
          <x:t xml:space="preserve">https://pmc.ncbi.nlm.nih.gov/articles/PMC4235004/</x:t>
        </x:is>
      </x:c>
      <x:c r="X4" t="inlineStr">
        <x:is>
          <x:t xml:space="preserve">WHO first-9-months paper reported mean onset-to-hospitalization of 5.0 days overall through 14 Sep 2014.</x:t>
        </x:is>
      </x:c>
      <x:c r="Y4" t="inlineStr">
        <x:is>
          <x:t xml:space="preserve">Direct line-list timing anchor.</x:t>
        </x:is>
      </x:c>
    </x:row>
    <x:row r="5">
      <x:c r="A5" t="inlineStr">
        <x:is>
          <x:t xml:space="preserve">WA_DH_02</x:t>
        </x:is>
      </x:c>
      <x:c r="B5" t="inlineStr">
        <x:is>
          <x:t xml:space="preserve">delay_hosp</x:t>
        </x:is>
      </x:c>
      <x:c r="C5" s="4" t="n">
        <x:v>39</x:v>
      </x:c>
      <x:c r="D5" s="5" t="n">
        <x:v>41760</x:v>
      </x:c>
      <x:c r="E5" t="inlineStr">
        <x:is>
          <x:t xml:space="preserve">West Africa 2014-2015</x:t>
        </x:is>
      </x:c>
      <x:c r="F5" t="inlineStr">
        <x:is>
          <x:t xml:space="preserve">Regional</x:t>
        </x:is>
      </x:c>
      <x:c r="G5" t="inlineStr">
        <x:is>
          <x:t xml:space="preserve">manual</x:t>
        </x:is>
      </x:c>
      <x:c r="H5" s="6" t="n">
        <x:v>5.3</x:v>
      </x:c>
      <x:c r="I5" s="7" t="n"/>
      <x:c r="J5" s="7" t="n"/>
      <x:c r="K5" s="8">
        <x:f>IF(G5="manual",H5,IF(G5="ratio",IFERROR(I5/J5,""),IF(G5="one_minus_ratio",IFERROR(1-(I5/J5),""),"")))</x:f>
        <x:v>5.3</x:v>
      </x:c>
      <x:c r="L5" t="inlineStr">
        <x:is>
          <x:t xml:space="preserve">days</x:t>
        </x:is>
      </x:c>
      <x:c r="M5" t="inlineStr">
        <x:is>
          <x:t xml:space="preserve">main_fit</x:t>
        </x:is>
      </x:c>
      <x:c r="N5" t="inlineStr">
        <x:is>
          <x:t xml:space="preserve">direct_observed</x:t>
        </x:is>
      </x:c>
      <x:c r="O5" t="inlineStr">
        <x:is>
          <x:t xml:space="preserve">YES</x:t>
        </x:is>
      </x:c>
      <x:c r="P5" s="9" t="n">
        <x:v>1</x:v>
      </x:c>
      <x:c r="Q5" t="inlineStr">
        <x:is>
          <x:t xml:space="preserve">down</x:t>
        </x:is>
      </x:c>
      <x:c r="R5" s="9" t="n">
        <x:v>1.5</x:v>
      </x:c>
      <x:c r="S5" s="9" t="n">
        <x:v>6.5</x:v>
      </x:c>
      <x:c r="T5" t="inlineStr">
        <x:is>
          <x:t xml:space="preserve">WHO Ebola Response Team 2015</x:t>
        </x:is>
      </x:c>
      <x:c r="U5" t="inlineStr">
        <x:is>
          <x:t xml:space="preserve">peer-reviewed epidemic update</x:t>
        </x:is>
      </x:c>
      <x:c r="V5" t="inlineStr">
        <x:is>
          <x:t xml:space="preserve">https://www.nejm.org/doi/full/10.1056/NEJMc1414992</x:t>
        </x:is>
      </x:c>
      <x:c r="X5" t="inlineStr">
        <x:is>
          <x:t xml:space="preserve">Average symptom onset to hospitalization was 5.3 days before 1 Oct 2014.</x:t>
        </x:is>
      </x:c>
      <x:c r="Y5" t="inlineStr">
        <x:is>
          <x:t xml:space="preserve">Regional pre-October anchor.</x:t>
        </x:is>
      </x:c>
    </x:row>
    <x:row r="6">
      <x:c r="A6" t="inlineStr">
        <x:is>
          <x:t xml:space="preserve">WA_DH_03</x:t>
        </x:is>
      </x:c>
      <x:c r="B6" t="inlineStr">
        <x:is>
          <x:t xml:space="preserve">delay_hosp</x:t>
        </x:is>
      </x:c>
      <x:c r="C6" s="4" t="n">
        <x:v>84</x:v>
      </x:c>
      <x:c r="D6" s="5" t="n">
        <x:v>41805</x:v>
      </x:c>
      <x:c r="E6" t="inlineStr">
        <x:is>
          <x:t xml:space="preserve">West Africa 2014-2015</x:t>
        </x:is>
      </x:c>
      <x:c r="F6" t="inlineStr">
        <x:is>
          <x:t xml:space="preserve">Regional</x:t>
        </x:is>
      </x:c>
      <x:c r="G6" t="inlineStr">
        <x:is>
          <x:t xml:space="preserve">manual</x:t>
        </x:is>
      </x:c>
      <x:c r="H6" s="6" t="n">
        <x:v>4.4</x:v>
      </x:c>
      <x:c r="I6" s="7" t="n"/>
      <x:c r="J6" s="7" t="n"/>
      <x:c r="K6" s="8">
        <x:f>IF(G6="manual",H6,IF(G6="ratio",IFERROR(I6/J6,""),IF(G6="one_minus_ratio",IFERROR(1-(I6/J6),""),"")))</x:f>
        <x:v>4.4</x:v>
      </x:c>
      <x:c r="L6" t="inlineStr">
        <x:is>
          <x:t xml:space="preserve">days</x:t>
        </x:is>
      </x:c>
      <x:c r="M6" t="inlineStr">
        <x:is>
          <x:t xml:space="preserve">secondary_fit</x:t>
        </x:is>
      </x:c>
      <x:c r="N6" t="inlineStr">
        <x:is>
          <x:t xml:space="preserve">official_operational_summary</x:t>
        </x:is>
      </x:c>
      <x:c r="O6" t="inlineStr">
        <x:is>
          <x:t xml:space="preserve">YES</x:t>
        </x:is>
      </x:c>
      <x:c r="P6" s="9" t="n">
        <x:v>0.75</x:v>
      </x:c>
      <x:c r="Q6" t="inlineStr">
        <x:is>
          <x:t xml:space="preserve">down</x:t>
        </x:is>
      </x:c>
      <x:c r="R6" s="9" t="n">
        <x:v>1.5</x:v>
      </x:c>
      <x:c r="S6" s="9" t="n">
        <x:v>6.5</x:v>
      </x:c>
      <x:c r="T6" t="inlineStr">
        <x:is>
          <x:t xml:space="preserve">Global Ebola Response / UNMEER Progress Report May 2015</x:t>
        </x:is>
      </x:c>
      <x:c r="U6" t="inlineStr">
        <x:is>
          <x:t xml:space="preserve">UN operational report</x:t>
        </x:is>
      </x:c>
      <x:c r="V6" t="inlineStr">
        <x:is>
          <x:t xml:space="preserve">https://ebolaresponse.un.org/sites/default/files/web_ebola_progress_report_en.pdf</x:t>
        </x:is>
      </x:c>
      <x:c r="X6" t="inlineStr">
        <x:is>
          <x:t xml:space="preserve">The UNMEER progress report reproduces a WHO-data time series with a mid-2014 three-country onset-to-hospitalization point around 4.4 days.</x:t>
        </x:is>
      </x:c>
      <x:c r="Y6" t="inlineStr">
        <x:is>
          <x:t xml:space="preserve">Dense time-axis support point.</x:t>
        </x:is>
      </x:c>
    </x:row>
    <x:row r="7">
      <x:c r="A7" t="inlineStr">
        <x:is>
          <x:t xml:space="preserve">WA_DH_04</x:t>
        </x:is>
      </x:c>
      <x:c r="B7" t="inlineStr">
        <x:is>
          <x:t xml:space="preserve">delay_hosp</x:t>
        </x:is>
      </x:c>
      <x:c r="C7" s="4" t="n">
        <x:v>107</x:v>
      </x:c>
      <x:c r="D7" s="5" t="n">
        <x:v>41828</x:v>
      </x:c>
      <x:c r="E7" t="inlineStr">
        <x:is>
          <x:t xml:space="preserve">West Africa 2014-2015</x:t>
        </x:is>
      </x:c>
      <x:c r="F7" t="inlineStr">
        <x:is>
          <x:t xml:space="preserve">Sierra Leone</x:t>
        </x:is>
      </x:c>
      <x:c r="G7" t="inlineStr">
        <x:is>
          <x:t xml:space="preserve">manual</x:t>
        </x:is>
      </x:c>
      <x:c r="H7" s="6" t="n">
        <x:v>4.6</x:v>
      </x:c>
      <x:c r="I7" s="7" t="n"/>
      <x:c r="J7" s="7" t="n"/>
      <x:c r="K7" s="8">
        <x:f>IF(G7="manual",H7,IF(G7="ratio",IFERROR(I7/J7,""),IF(G7="one_minus_ratio",IFERROR(1-(I7/J7),""),"")))</x:f>
        <x:v>4.6</x:v>
      </x:c>
      <x:c r="L7" t="inlineStr">
        <x:is>
          <x:t xml:space="preserve">days</x:t>
        </x:is>
      </x:c>
      <x:c r="M7" t="inlineStr">
        <x:is>
          <x:t xml:space="preserve">main_fit</x:t>
        </x:is>
      </x:c>
      <x:c r="N7" t="inlineStr">
        <x:is>
          <x:t xml:space="preserve">direct_observed</x:t>
        </x:is>
      </x:c>
      <x:c r="O7" t="inlineStr">
        <x:is>
          <x:t xml:space="preserve">YES</x:t>
        </x:is>
      </x:c>
      <x:c r="P7" s="9" t="n">
        <x:v>1</x:v>
      </x:c>
      <x:c r="Q7" t="inlineStr">
        <x:is>
          <x:t xml:space="preserve">down</x:t>
        </x:is>
      </x:c>
      <x:c r="R7" s="9" t="n">
        <x:v>1.5</x:v>
      </x:c>
      <x:c r="S7" s="9" t="n">
        <x:v>6.5</x:v>
      </x:c>
      <x:c r="T7" t="inlineStr">
        <x:is>
          <x:t xml:space="preserve">WHO Ebola Response Team 2014</x:t>
        </x:is>
      </x:c>
      <x:c r="U7" t="inlineStr">
        <x:is>
          <x:t xml:space="preserve">peer-reviewed line-list analysis</x:t>
        </x:is>
      </x:c>
      <x:c r="V7" t="inlineStr">
        <x:is>
          <x:t xml:space="preserve">https://pmc.ncbi.nlm.nih.gov/articles/PMC4235004/</x:t>
        </x:is>
      </x:c>
      <x:c r="X7" t="inlineStr">
        <x:is>
          <x:t xml:space="preserve">Sierra Leone subgroup in the WHO first-9-months paper: 4.6 days.</x:t>
        </x:is>
      </x:c>
      <x:c r="Y7" t="inlineStr">
        <x:is>
          <x:t xml:space="preserve">Country subgroup timing anchor.</x:t>
        </x:is>
      </x:c>
    </x:row>
    <x:row r="8">
      <x:c r="A8" t="inlineStr">
        <x:is>
          <x:t xml:space="preserve">WA_DH_05</x:t>
        </x:is>
      </x:c>
      <x:c r="B8" t="inlineStr">
        <x:is>
          <x:t xml:space="preserve">delay_hosp</x:t>
        </x:is>
      </x:c>
      <x:c r="C8" s="4" t="n">
        <x:v>169</x:v>
      </x:c>
      <x:c r="D8" s="5" t="n">
        <x:v>41890</x:v>
      </x:c>
      <x:c r="E8" t="inlineStr">
        <x:is>
          <x:t xml:space="preserve">West Africa 2014-2015</x:t>
        </x:is>
      </x:c>
      <x:c r="F8" t="inlineStr">
        <x:is>
          <x:t xml:space="preserve">Bombali, Sierra Leone</x:t>
        </x:is>
      </x:c>
      <x:c r="G8" t="inlineStr">
        <x:is>
          <x:t xml:space="preserve">manual</x:t>
        </x:is>
      </x:c>
      <x:c r="H8" s="6" t="n">
        <x:v>4</x:v>
      </x:c>
      <x:c r="I8" s="7" t="n"/>
      <x:c r="J8" s="7" t="n"/>
      <x:c r="K8" s="8">
        <x:f>IF(G8="manual",H8,IF(G8="ratio",IFERROR(I8/J8,""),IF(G8="one_minus_ratio",IFERROR(1-(I8/J8),""),"")))</x:f>
        <x:v>4</x:v>
      </x:c>
      <x:c r="L8" t="inlineStr">
        <x:is>
          <x:t xml:space="preserve">days</x:t>
        </x:is>
      </x:c>
      <x:c r="M8" t="inlineStr">
        <x:is>
          <x:t xml:space="preserve">main_fit</x:t>
        </x:is>
      </x:c>
      <x:c r="N8" t="inlineStr">
        <x:is>
          <x:t xml:space="preserve">direct_observed</x:t>
        </x:is>
      </x:c>
      <x:c r="O8" t="inlineStr">
        <x:is>
          <x:t xml:space="preserve">YES</x:t>
        </x:is>
      </x:c>
      <x:c r="P8" s="9" t="n">
        <x:v>1</x:v>
      </x:c>
      <x:c r="Q8" t="inlineStr">
        <x:is>
          <x:t xml:space="preserve">down</x:t>
        </x:is>
      </x:c>
      <x:c r="R8" s="9" t="n">
        <x:v>1.5</x:v>
      </x:c>
      <x:c r="S8" s="9" t="n">
        <x:v>6.5</x:v>
      </x:c>
      <x:c r="T8" t="inlineStr">
        <x:is>
          <x:t xml:space="preserve">Gleason et al. 2015</x:t>
        </x:is>
      </x:c>
      <x:c r="U8" t="inlineStr">
        <x:is>
          <x:t xml:space="preserve">CDC MMWR before-after analysis</x:t>
        </x:is>
      </x:c>
      <x:c r="V8" t="inlineStr">
        <x:is>
          <x:t xml:space="preserve">https://www.cdc.gov/mmwr/preview/mmwrhtml/mm6439a4.htm</x:t>
        </x:is>
      </x:c>
      <x:c r="X8" t="inlineStr">
        <x:is>
          <x:t xml:space="preserve">Bombali ETU/laboratory evaluation reported 4.0 days from symptom onset to isolation before ETU/lab establishment.</x:t>
        </x:is>
      </x:c>
      <x:c r="Y8" t="inlineStr">
        <x:is>
          <x:t xml:space="preserve">Subnational direct timing anchor.</x:t>
        </x:is>
      </x:c>
    </x:row>
    <x:row r="9">
      <x:c r="A9" t="inlineStr">
        <x:is>
          <x:t xml:space="preserve">WA_DH_06</x:t>
        </x:is>
      </x:c>
      <x:c r="B9" t="inlineStr">
        <x:is>
          <x:t xml:space="preserve">delay_hosp</x:t>
        </x:is>
      </x:c>
      <x:c r="C9" s="4" t="n">
        <x:v>176</x:v>
      </x:c>
      <x:c r="D9" s="5" t="n">
        <x:v>41897</x:v>
      </x:c>
      <x:c r="E9" t="inlineStr">
        <x:is>
          <x:t xml:space="preserve">West Africa 2014-2015</x:t>
        </x:is>
      </x:c>
      <x:c r="F9" t="inlineStr">
        <x:is>
          <x:t xml:space="preserve">Pujehun, Sierra Leone</x:t>
        </x:is>
      </x:c>
      <x:c r="G9" t="inlineStr">
        <x:is>
          <x:t xml:space="preserve">manual</x:t>
        </x:is>
      </x:c>
      <x:c r="H9" s="6" t="n">
        <x:v>4.5</x:v>
      </x:c>
      <x:c r="I9" s="7" t="n"/>
      <x:c r="J9" s="7" t="n"/>
      <x:c r="K9" s="8">
        <x:f>IF(G9="manual",H9,IF(G9="ratio",IFERROR(I9/J9,""),IF(G9="one_minus_ratio",IFERROR(1-(I9/J9),""),"")))</x:f>
        <x:v>4.5</x:v>
      </x:c>
      <x:c r="L9" t="inlineStr">
        <x:is>
          <x:t xml:space="preserve">days</x:t>
        </x:is>
      </x:c>
      <x:c r="M9" t="inlineStr">
        <x:is>
          <x:t xml:space="preserve">main_fit</x:t>
        </x:is>
      </x:c>
      <x:c r="N9" t="inlineStr">
        <x:is>
          <x:t xml:space="preserve">direct_observed</x:t>
        </x:is>
      </x:c>
      <x:c r="O9" t="inlineStr">
        <x:is>
          <x:t xml:space="preserve">YES</x:t>
        </x:is>
      </x:c>
      <x:c r="P9" s="9" t="n">
        <x:v>1</x:v>
      </x:c>
      <x:c r="Q9" t="inlineStr">
        <x:is>
          <x:t xml:space="preserve">down</x:t>
        </x:is>
      </x:c>
      <x:c r="R9" s="9" t="n">
        <x:v>1.5</x:v>
      </x:c>
      <x:c r="S9" s="9" t="n">
        <x:v>6.5</x:v>
      </x:c>
      <x:c r="T9" t="inlineStr">
        <x:is>
          <x:t xml:space="preserve">Ajelli et al. 2015</x:t>
        </x:is>
      </x:c>
      <x:c r="U9" t="inlineStr">
        <x:is>
          <x:t xml:space="preserve">peer-reviewed district outbreak investigation</x:t>
        </x:is>
      </x:c>
      <x:c r="V9" t="inlineStr">
        <x:is>
          <x:t xml:space="preserve">https://pmc.ncbi.nlm.nih.gov/articles/PMC4660799/</x:t>
        </x:is>
      </x:c>
      <x:c r="X9" t="inlineStr">
        <x:is>
          <x:t xml:space="preserve">Ajelli et al. reported mean onset-to-hospitalization of 4.5 days in Pujehun.</x:t>
        </x:is>
      </x:c>
      <x:c r="Y9" t="inlineStr">
        <x:is>
          <x:t xml:space="preserve">District direct timing anchor.</x:t>
        </x:is>
      </x:c>
    </x:row>
    <x:row r="10">
      <x:c r="A10" t="inlineStr">
        <x:is>
          <x:t xml:space="preserve">WA_DH_07</x:t>
        </x:is>
      </x:c>
      <x:c r="B10" t="inlineStr">
        <x:is>
          <x:t xml:space="preserve">delay_hosp</x:t>
        </x:is>
      </x:c>
      <x:c r="C10" s="4" t="n">
        <x:v>264</x:v>
      </x:c>
      <x:c r="D10" s="5" t="n">
        <x:v>41985</x:v>
      </x:c>
      <x:c r="E10" t="inlineStr">
        <x:is>
          <x:t xml:space="preserve">West Africa 2014-2015</x:t>
        </x:is>
      </x:c>
      <x:c r="F10" t="inlineStr">
        <x:is>
          <x:t xml:space="preserve">Regional</x:t>
        </x:is>
      </x:c>
      <x:c r="G10" t="inlineStr">
        <x:is>
          <x:t xml:space="preserve">manual</x:t>
        </x:is>
      </x:c>
      <x:c r="H10" s="6" t="n">
        <x:v>4.1</x:v>
      </x:c>
      <x:c r="I10" s="7" t="n"/>
      <x:c r="J10" s="7" t="n"/>
      <x:c r="K10" s="8">
        <x:f>IF(G10="manual",H10,IF(G10="ratio",IFERROR(I10/J10,""),IF(G10="one_minus_ratio",IFERROR(1-(I10/J10),""),"")))</x:f>
        <x:v>4.1</x:v>
      </x:c>
      <x:c r="L10" t="inlineStr">
        <x:is>
          <x:t xml:space="preserve">days</x:t>
        </x:is>
      </x:c>
      <x:c r="M10" t="inlineStr">
        <x:is>
          <x:t xml:space="preserve">shape_prior</x:t>
        </x:is>
      </x:c>
      <x:c r="N10" t="inlineStr">
        <x:is>
          <x:t xml:space="preserve">model_supported_operational_prior</x:t>
        </x:is>
      </x:c>
      <x:c r="O10" t="inlineStr">
        <x:is>
          <x:t xml:space="preserve">YES</x:t>
        </x:is>
      </x:c>
      <x:c r="P10" s="9" t="n">
        <x:v>0.5</x:v>
      </x:c>
      <x:c r="Q10" t="inlineStr">
        <x:is>
          <x:t xml:space="preserve">down</x:t>
        </x:is>
      </x:c>
      <x:c r="R10" s="9" t="n">
        <x:v>1.5</x:v>
      </x:c>
      <x:c r="S10" s="9" t="n">
        <x:v>6.5</x:v>
      </x:c>
      <x:c r="T10" t="inlineStr">
        <x:is>
          <x:t xml:space="preserve">Barbarossa et al. 2015</x:t>
        </x:is>
      </x:c>
      <x:c r="U10" t="inlineStr">
        <x:is>
          <x:t xml:space="preserve">peer-reviewed model paper</x:t>
        </x:is>
      </x:c>
      <x:c r="V10" t="inlineStr">
        <x:is>
          <x:t xml:space="preserve">https://pmc.ncbi.nlm.nih.gov/articles/PMC4510538/</x:t>
        </x:is>
      </x:c>
      <x:c r="X10" t="inlineStr">
        <x:is>
          <x:t xml:space="preserve">Barbarossa et al. used a later lower delay consistent with progressive improvement in response.</x:t>
        </x:is>
      </x:c>
      <x:c r="Y10" t="inlineStr">
        <x:is>
          <x:t xml:space="preserve">Shape prior used to keep the pooled curve smooth and monotone.</x:t>
        </x:is>
      </x:c>
    </x:row>
    <x:row r="11">
      <x:c r="A11" t="inlineStr">
        <x:is>
          <x:t xml:space="preserve">WA_DH_08</x:t>
        </x:is>
      </x:c>
      <x:c r="B11" t="inlineStr">
        <x:is>
          <x:t xml:space="preserve">delay_hosp</x:t>
        </x:is>
      </x:c>
      <x:c r="C11" s="4" t="n">
        <x:v>267</x:v>
      </x:c>
      <x:c r="D11" s="5" t="n">
        <x:v>41988</x:v>
      </x:c>
      <x:c r="E11" t="inlineStr">
        <x:is>
          <x:t xml:space="preserve">West Africa 2014-2015</x:t>
        </x:is>
      </x:c>
      <x:c r="F11" t="inlineStr">
        <x:is>
          <x:t xml:space="preserve">Regional</x:t>
        </x:is>
      </x:c>
      <x:c r="G11" t="inlineStr">
        <x:is>
          <x:t xml:space="preserve">manual</x:t>
        </x:is>
      </x:c>
      <x:c r="H11" s="6" t="n">
        <x:v>3</x:v>
      </x:c>
      <x:c r="I11" s="7" t="n"/>
      <x:c r="J11" s="7" t="n"/>
      <x:c r="K11" s="8">
        <x:f>IF(G11="manual",H11,IF(G11="ratio",IFERROR(I11/J11,""),IF(G11="one_minus_ratio",IFERROR(1-(I11/J11),""),"")))</x:f>
        <x:v>3</x:v>
      </x:c>
      <x:c r="L11" t="inlineStr">
        <x:is>
          <x:t xml:space="preserve">days</x:t>
        </x:is>
      </x:c>
      <x:c r="M11" t="inlineStr">
        <x:is>
          <x:t xml:space="preserve">secondary_fit</x:t>
        </x:is>
      </x:c>
      <x:c r="N11" t="inlineStr">
        <x:is>
          <x:t xml:space="preserve">official_operational_summary</x:t>
        </x:is>
      </x:c>
      <x:c r="O11" t="inlineStr">
        <x:is>
          <x:t xml:space="preserve">YES</x:t>
        </x:is>
      </x:c>
      <x:c r="P11" s="9" t="n">
        <x:v>0.75</x:v>
      </x:c>
      <x:c r="Q11" t="inlineStr">
        <x:is>
          <x:t xml:space="preserve">down</x:t>
        </x:is>
      </x:c>
      <x:c r="R11" s="9" t="n">
        <x:v>1.5</x:v>
      </x:c>
      <x:c r="S11" s="9" t="n">
        <x:v>6.5</x:v>
      </x:c>
      <x:c r="T11" t="inlineStr">
        <x:is>
          <x:t xml:space="preserve">Global Ebola Response / UNMEER Progress Report May 2015</x:t>
        </x:is>
      </x:c>
      <x:c r="U11" t="inlineStr">
        <x:is>
          <x:t xml:space="preserve">UN operational report</x:t>
        </x:is>
      </x:c>
      <x:c r="V11" t="inlineStr">
        <x:is>
          <x:t xml:space="preserve">https://ebolaresponse.un.org/sites/default/files/web_ebola_progress_report_en.pdf</x:t>
        </x:is>
      </x:c>
      <x:c r="X11" t="inlineStr">
        <x:is>
          <x:t xml:space="preserve">The UNMEER progress report shows a later three-country point around 3.0 days.</x:t>
        </x:is>
      </x:c>
      <x:c r="Y11" t="inlineStr">
        <x:is>
          <x:t xml:space="preserve">Dense time-axis support point.</x:t>
        </x:is>
      </x:c>
    </x:row>
    <x:row r="12">
      <x:c r="A12" t="inlineStr">
        <x:is>
          <x:t xml:space="preserve">WA_DH_09</x:t>
        </x:is>
      </x:c>
      <x:c r="B12" t="inlineStr">
        <x:is>
          <x:t xml:space="preserve">delay_hosp</x:t>
        </x:is>
      </x:c>
      <x:c r="C12" s="4" t="n">
        <x:v>283</x:v>
      </x:c>
      <x:c r="D12" s="5" t="n">
        <x:v>42004</x:v>
      </x:c>
      <x:c r="E12" t="inlineStr">
        <x:is>
          <x:t xml:space="preserve">West Africa 2014-2015</x:t>
        </x:is>
      </x:c>
      <x:c r="F12" t="inlineStr">
        <x:is>
          <x:t xml:space="preserve">Bombali, Sierra Leone</x:t>
        </x:is>
      </x:c>
      <x:c r="G12" t="inlineStr">
        <x:is>
          <x:t xml:space="preserve">manual</x:t>
        </x:is>
      </x:c>
      <x:c r="H12" s="6" t="n">
        <x:v>3.6</x:v>
      </x:c>
      <x:c r="I12" s="7" t="n"/>
      <x:c r="J12" s="7" t="n"/>
      <x:c r="K12" s="8">
        <x:f>IF(G12="manual",H12,IF(G12="ratio",IFERROR(I12/J12,""),IF(G12="one_minus_ratio",IFERROR(1-(I12/J12),""),"")))</x:f>
        <x:v>3.6</x:v>
      </x:c>
      <x:c r="L12" t="inlineStr">
        <x:is>
          <x:t xml:space="preserve">days</x:t>
        </x:is>
      </x:c>
      <x:c r="M12" t="inlineStr">
        <x:is>
          <x:t xml:space="preserve">main_fit</x:t>
        </x:is>
      </x:c>
      <x:c r="N12" t="inlineStr">
        <x:is>
          <x:t xml:space="preserve">direct_observed</x:t>
        </x:is>
      </x:c>
      <x:c r="O12" t="inlineStr">
        <x:is>
          <x:t xml:space="preserve">YES</x:t>
        </x:is>
      </x:c>
      <x:c r="P12" s="9" t="n">
        <x:v>1</x:v>
      </x:c>
      <x:c r="Q12" t="inlineStr">
        <x:is>
          <x:t xml:space="preserve">down</x:t>
        </x:is>
      </x:c>
      <x:c r="R12" s="9" t="n">
        <x:v>1.5</x:v>
      </x:c>
      <x:c r="S12" s="9" t="n">
        <x:v>6.5</x:v>
      </x:c>
      <x:c r="T12" t="inlineStr">
        <x:is>
          <x:t xml:space="preserve">Gleason et al. 2015</x:t>
        </x:is>
      </x:c>
      <x:c r="U12" t="inlineStr">
        <x:is>
          <x:t xml:space="preserve">CDC MMWR before-after analysis</x:t>
        </x:is>
      </x:c>
      <x:c r="V12" t="inlineStr">
        <x:is>
          <x:t xml:space="preserve">https://www.cdc.gov/mmwr/preview/mmwrhtml/mm6439a4.htm</x:t>
        </x:is>
      </x:c>
      <x:c r="X12" t="inlineStr">
        <x:is>
          <x:t xml:space="preserve">Bombali ETU/laboratory evaluation reported 3.6 days from symptom onset to isolation after ETU/lab establishment.</x:t>
        </x:is>
      </x:c>
      <x:c r="Y12" t="inlineStr">
        <x:is>
          <x:t xml:space="preserve">Subnational direct timing anchor.</x:t>
        </x:is>
      </x:c>
    </x:row>
    <x:row r="13">
      <x:c r="A13" t="inlineStr">
        <x:is>
          <x:t xml:space="preserve">WA_DH_10</x:t>
        </x:is>
      </x:c>
      <x:c r="B13" t="inlineStr">
        <x:is>
          <x:t xml:space="preserve">delay_hosp</x:t>
        </x:is>
      </x:c>
      <x:c r="C13" s="4" t="n">
        <x:v>357</x:v>
      </x:c>
      <x:c r="D13" s="5" t="n">
        <x:v>42078</x:v>
      </x:c>
      <x:c r="E13" t="inlineStr">
        <x:is>
          <x:t xml:space="preserve">West Africa 2014-2015</x:t>
        </x:is>
      </x:c>
      <x:c r="F13" t="inlineStr">
        <x:is>
          <x:t xml:space="preserve">Regional</x:t>
        </x:is>
      </x:c>
      <x:c r="G13" t="inlineStr">
        <x:is>
          <x:t xml:space="preserve">manual</x:t>
        </x:is>
      </x:c>
      <x:c r="H13" s="6" t="n">
        <x:v>2.3</x:v>
      </x:c>
      <x:c r="I13" s="7" t="n"/>
      <x:c r="J13" s="7" t="n"/>
      <x:c r="K13" s="8">
        <x:f>IF(G13="manual",H13,IF(G13="ratio",IFERROR(I13/J13,""),IF(G13="one_minus_ratio",IFERROR(1-(I13/J13),""),"")))</x:f>
        <x:v>2.3</x:v>
      </x:c>
      <x:c r="L13" t="inlineStr">
        <x:is>
          <x:t xml:space="preserve">days</x:t>
        </x:is>
      </x:c>
      <x:c r="M13" t="inlineStr">
        <x:is>
          <x:t xml:space="preserve">secondary_fit</x:t>
        </x:is>
      </x:c>
      <x:c r="N13" t="inlineStr">
        <x:is>
          <x:t xml:space="preserve">official_operational_summary</x:t>
        </x:is>
      </x:c>
      <x:c r="O13" t="inlineStr">
        <x:is>
          <x:t xml:space="preserve">YES</x:t>
        </x:is>
      </x:c>
      <x:c r="P13" s="9" t="n">
        <x:v>0.75</x:v>
      </x:c>
      <x:c r="Q13" t="inlineStr">
        <x:is>
          <x:t xml:space="preserve">down</x:t>
        </x:is>
      </x:c>
      <x:c r="R13" s="9" t="n">
        <x:v>1.5</x:v>
      </x:c>
      <x:c r="S13" s="9" t="n">
        <x:v>6.5</x:v>
      </x:c>
      <x:c r="T13" t="inlineStr">
        <x:is>
          <x:t xml:space="preserve">Global Ebola Response / UNMEER Progress Report May 2015</x:t>
        </x:is>
      </x:c>
      <x:c r="U13" t="inlineStr">
        <x:is>
          <x:t xml:space="preserve">UN operational report</x:t>
        </x:is>
      </x:c>
      <x:c r="V13" t="inlineStr">
        <x:is>
          <x:t xml:space="preserve">https://ebolaresponse.un.org/sites/default/files/web_ebola_progress_report_en.pdf</x:t>
        </x:is>
      </x:c>
      <x:c r="X13" t="inlineStr">
        <x:is>
          <x:t xml:space="preserve">The later UNMEER time series reaches about 2.3 days by March 2015.</x:t>
        </x:is>
      </x:c>
      <x:c r="Y13" t="inlineStr">
        <x:is>
          <x:t xml:space="preserve">Late dense time-axis support point.</x:t>
        </x:is>
      </x:c>
    </x:row>
    <x:row r="14">
      <x:c r="A14" t="inlineStr">
        <x:is>
          <x:t xml:space="preserve">WA_PH_00</x:t>
        </x:is>
      </x:c>
      <x:c r="B14" t="inlineStr">
        <x:is>
          <x:t xml:space="preserve">p_hosp</x:t>
        </x:is>
      </x:c>
      <x:c r="C14" s="4" t="n">
        <x:v>0</x:v>
      </x:c>
      <x:c r="D14" s="5" t="n">
        <x:v>41721</x:v>
      </x:c>
      <x:c r="E14" t="inlineStr">
        <x:is>
          <x:t xml:space="preserve">West Africa 2014-2015</x:t>
        </x:is>
      </x:c>
      <x:c r="F14" t="inlineStr">
        <x:is>
          <x:t xml:space="preserve">Regional</x:t>
        </x:is>
      </x:c>
      <x:c r="G14" t="inlineStr">
        <x:is>
          <x:t xml:space="preserve">manual</x:t>
        </x:is>
      </x:c>
      <x:c r="H14" s="6" t="n">
        <x:v>0.35</x:v>
      </x:c>
      <x:c r="I14" s="7" t="n"/>
      <x:c r="J14" s="7" t="n"/>
      <x:c r="K14" s="8">
        <x:f>IF(G14="manual",H14,IF(G14="ratio",IFERROR(I14/J14,""),IF(G14="one_minus_ratio",IFERROR(1-(I14/J14),""),"")))</x:f>
        <x:v>0.35</x:v>
      </x:c>
      <x:c r="L14" t="inlineStr">
        <x:is>
          <x:t xml:space="preserve">proportion</x:t>
        </x:is>
      </x:c>
      <x:c r="M14" t="inlineStr">
        <x:is>
          <x:t xml:space="preserve">boundary_anchor</x:t>
        </x:is>
      </x:c>
      <x:c r="N14" t="inlineStr">
        <x:is>
          <x:t xml:space="preserve">constructed_boundary</x:t>
        </x:is>
      </x:c>
      <x:c r="O14" t="inlineStr">
        <x:is>
          <x:t xml:space="preserve">YES</x:t>
        </x:is>
      </x:c>
      <x:c r="P14" s="9" t="n">
        <x:v>0.6</x:v>
      </x:c>
      <x:c r="Q14" t="inlineStr">
        <x:is>
          <x:t xml:space="preserve">up</x:t>
        </x:is>
      </x:c>
      <x:c r="R14" s="9" t="n">
        <x:v>0.3</x:v>
      </x:c>
      <x:c r="S14" s="9" t="n">
        <x:v>0.95</x:v>
      </x:c>
      <x:c r="T14" t="inlineStr">
        <x:is>
          <x:t xml:space="preserve">WHO Roadmap target framing + early delayed response context</x:t>
        </x:is>
      </x:c>
      <x:c r="U14" t="inlineStr">
        <x:is>
          <x:t xml:space="preserve">WHO roadmap + constructed</x:t>
        </x:is>
      </x:c>
      <x:c r="V14" t="inlineStr">
        <x:is>
          <x:t xml:space="preserve">https://iris.who.int/bitstream/handle/10665/136020/roadmapsitrep_8Oct2014_eng.pdf</x:t>
        </x:is>
      </x:c>
      <x:c r="W14" t="inlineStr">
        <x:is>
          <x:t xml:space="preserve">https://www.nejm.org/doi/full/10.1056/NEJMc1414992</x:t>
        </x:is>
      </x:c>
      <x:c r="X14" t="inlineStr">
        <x:is>
          <x:t xml:space="preserve">Early regional response capacity was far below later targets for isolation and treatment.</x:t>
        </x:is>
      </x:c>
      <x:c r="Y14" t="inlineStr">
        <x:is>
          <x:t xml:space="preserve">Constructed early-case hospitalization boundary chosen to sit below later Liberia and Sierra Leone operational estimates.</x:t>
        </x:is>
      </x:c>
    </x:row>
    <x:row r="15">
      <x:c r="A15" t="inlineStr">
        <x:is>
          <x:t xml:space="preserve">WA_PH_01</x:t>
        </x:is>
      </x:c>
      <x:c r="B15" t="inlineStr">
        <x:is>
          <x:t xml:space="preserve">p_hosp</x:t>
        </x:is>
      </x:c>
      <x:c r="C15" s="4" t="n">
        <x:v>196</x:v>
      </x:c>
      <x:c r="D15" s="5" t="n">
        <x:v>41917</x:v>
      </x:c>
      <x:c r="E15" t="inlineStr">
        <x:is>
          <x:t xml:space="preserve">West Africa 2014-2015</x:t>
        </x:is>
      </x:c>
      <x:c r="F15" t="inlineStr">
        <x:is>
          <x:t xml:space="preserve">Liberia/Sierra Leone</x:t>
        </x:is>
      </x:c>
      <x:c r="G15" t="inlineStr">
        <x:is>
          <x:t xml:space="preserve">manual</x:t>
        </x:is>
      </x:c>
      <x:c r="H15" s="6" t="n">
        <x:v>0.51</x:v>
      </x:c>
      <x:c r="I15" s="7" t="n"/>
      <x:c r="J15" s="7" t="n"/>
      <x:c r="K15" s="8">
        <x:f>IF(G15="manual",H15,IF(G15="ratio",IFERROR(I15/J15,""),IF(G15="one_minus_ratio",IFERROR(1-(I15/J15),""),"")))</x:f>
        <x:v>0.51</x:v>
      </x:c>
      <x:c r="L15" t="inlineStr">
        <x:is>
          <x:t xml:space="preserve">proportion</x:t>
        </x:is>
      </x:c>
      <x:c r="M15" t="inlineStr">
        <x:is>
          <x:t xml:space="preserve">shape_prior</x:t>
        </x:is>
      </x:c>
      <x:c r="N15" t="inlineStr">
        <x:is>
          <x:t xml:space="preserve">model_scenario_anchor</x:t>
        </x:is>
      </x:c>
      <x:c r="O15" t="inlineStr">
        <x:is>
          <x:t xml:space="preserve">YES</x:t>
        </x:is>
      </x:c>
      <x:c r="P15" s="9" t="n">
        <x:v>0.5</x:v>
      </x:c>
      <x:c r="Q15" t="inlineStr">
        <x:is>
          <x:t xml:space="preserve">up</x:t>
        </x:is>
      </x:c>
      <x:c r="R15" s="9" t="n">
        <x:v>0.3</x:v>
      </x:c>
      <x:c r="S15" s="9" t="n">
        <x:v>0.95</x:v>
      </x:c>
      <x:c r="T15" t="inlineStr">
        <x:is>
          <x:t xml:space="preserve">Rivers et al. 2014</x:t>
        </x:is>
      </x:c>
      <x:c r="U15" t="inlineStr">
        <x:is>
          <x:t xml:space="preserve">peer-reviewed model paper</x:t>
        </x:is>
      </x:c>
      <x:c r="V15" t="inlineStr">
        <x:is>
          <x:t xml:space="preserve">https://pmc.ncbi.nlm.nih.gov/articles/PMC4399521/</x:t>
        </x:is>
      </x:c>
      <x:c r="X15" t="inlineStr">
        <x:is>
          <x:t xml:space="preserve">Rivers et al. baseline scenario assumed about 51% of infected cases diagnosed and hospitalized in Liberia.</x:t>
        </x:is>
      </x:c>
      <x:c r="Y15" t="inlineStr">
        <x:is>
          <x:t xml:space="preserve">Early scenario anchor used as smoothness support, not as a primary field estimate.</x:t>
        </x:is>
      </x:c>
    </x:row>
    <x:row r="16">
      <x:c r="A16" t="inlineStr">
        <x:is>
          <x:t xml:space="preserve">WA_PH_02</x:t>
        </x:is>
      </x:c>
      <x:c r="B16" t="inlineStr">
        <x:is>
          <x:t xml:space="preserve">p_hosp</x:t>
        </x:is>
      </x:c>
      <x:c r="C16" s="4" t="n">
        <x:v>203</x:v>
      </x:c>
      <x:c r="D16" s="5" t="n">
        <x:v>41924</x:v>
      </x:c>
      <x:c r="E16" t="inlineStr">
        <x:is>
          <x:t xml:space="preserve">West Africa 2014-2015</x:t>
        </x:is>
      </x:c>
      <x:c r="F16" t="inlineStr">
        <x:is>
          <x:t xml:space="preserve">Liberia</x:t>
        </x:is>
      </x:c>
      <x:c r="G16" t="inlineStr">
        <x:is>
          <x:t xml:space="preserve">manual</x:t>
        </x:is>
      </x:c>
      <x:c r="H16" s="6" t="n">
        <x:v>0.55</x:v>
      </x:c>
      <x:c r="I16" s="7" t="n"/>
      <x:c r="J16" s="7" t="n"/>
      <x:c r="K16" s="8">
        <x:f>IF(G16="manual",H16,IF(G16="ratio",IFERROR(I16/J16,""),IF(G16="one_minus_ratio",IFERROR(1-(I16/J16),""),"")))</x:f>
        <x:v>0.55</x:v>
      </x:c>
      <x:c r="L16" t="inlineStr">
        <x:is>
          <x:t xml:space="preserve">proportion</x:t>
        </x:is>
      </x:c>
      <x:c r="M16" t="inlineStr">
        <x:is>
          <x:t xml:space="preserve">main_fit</x:t>
        </x:is>
      </x:c>
      <x:c r="N16" t="inlineStr">
        <x:is>
          <x:t xml:space="preserve">model_derived_operational_estimate</x:t>
        </x:is>
      </x:c>
      <x:c r="O16" t="inlineStr">
        <x:is>
          <x:t xml:space="preserve">YES</x:t>
        </x:is>
      </x:c>
      <x:c r="P16" s="9" t="n">
        <x:v>1</x:v>
      </x:c>
      <x:c r="Q16" t="inlineStr">
        <x:is>
          <x:t xml:space="preserve">up</x:t>
        </x:is>
      </x:c>
      <x:c r="R16" s="9" t="n">
        <x:v>0.3</x:v>
      </x:c>
      <x:c r="S16" s="9" t="n">
        <x:v>0.95</x:v>
      </x:c>
      <x:c r="T16" t="inlineStr">
        <x:is>
          <x:t xml:space="preserve">Washington &amp; Meltzer 2015</x:t>
        </x:is>
      </x:c>
      <x:c r="U16" t="inlineStr">
        <x:is>
          <x:t xml:space="preserve">CDC MMWR operational estimate</x:t>
        </x:is>
      </x:c>
      <x:c r="V16" t="inlineStr">
        <x:is>
          <x:t xml:space="preserve">https://pmc.ncbi.nlm.nih.gov/articles/PMC4584561/</x:t>
        </x:is>
      </x:c>
      <x:c r="X16" t="inlineStr">
        <x:is>
          <x:t xml:space="preserve">Washington &amp; Meltzer estimated 20% in ETUs, 35% in CCCs/equivalent reduced-risk settings, and 45% at home; this implies 55% in some formal care/isolation state.</x:t>
        </x:is>
      </x:c>
      <x:c r="Y16" t="inlineStr">
        <x:is>
          <x:t xml:space="preserve">Operational estimate of formal care probability.</x:t>
        </x:is>
      </x:c>
    </x:row>
    <x:row r="17">
      <x:c r="A17" t="inlineStr">
        <x:is>
          <x:t xml:space="preserve">WA_PH_05</x:t>
        </x:is>
      </x:c>
      <x:c r="B17" t="inlineStr">
        <x:is>
          <x:t xml:space="preserve">p_hosp</x:t>
        </x:is>
      </x:c>
      <x:c r="C17" s="4" t="n">
        <x:v>245</x:v>
      </x:c>
      <x:c r="D17" s="5" t="n">
        <x:v>41966</x:v>
      </x:c>
      <x:c r="E17" t="inlineStr">
        <x:is>
          <x:t xml:space="preserve">West Africa 2014-2015</x:t>
        </x:is>
      </x:c>
      <x:c r="F17" t="inlineStr">
        <x:is>
          <x:t xml:space="preserve">Liberia</x:t>
        </x:is>
      </x:c>
      <x:c r="G17" t="inlineStr">
        <x:is>
          <x:t xml:space="preserve">manual</x:t>
        </x:is>
      </x:c>
      <x:c r="H17" s="6" t="n">
        <x:v>0.85</x:v>
      </x:c>
      <x:c r="I17" s="7" t="n"/>
      <x:c r="J17" s="7" t="n"/>
      <x:c r="K17" s="8">
        <x:f>IF(G17="manual",H17,IF(G17="ratio",IFERROR(I17/J17,""),IF(G17="one_minus_ratio",IFERROR(1-(I17/J17),""),"")))</x:f>
        <x:v>0.85</x:v>
      </x:c>
      <x:c r="L17" t="inlineStr">
        <x:is>
          <x:t xml:space="preserve">proportion</x:t>
        </x:is>
      </x:c>
      <x:c r="M17" t="inlineStr">
        <x:is>
          <x:t xml:space="preserve">shape_prior</x:t>
        </x:is>
      </x:c>
      <x:c r="N17" t="inlineStr">
        <x:is>
          <x:t xml:space="preserve">model_scenario_anchor</x:t>
        </x:is>
      </x:c>
      <x:c r="O17" t="inlineStr">
        <x:is>
          <x:t xml:space="preserve">YES</x:t>
        </x:is>
      </x:c>
      <x:c r="P17" s="9" t="n">
        <x:v>0.5</x:v>
      </x:c>
      <x:c r="Q17" t="inlineStr">
        <x:is>
          <x:t xml:space="preserve">up</x:t>
        </x:is>
      </x:c>
      <x:c r="R17" s="9" t="n">
        <x:v>0.3</x:v>
      </x:c>
      <x:c r="S17" s="9" t="n">
        <x:v>0.95</x:v>
      </x:c>
      <x:c r="T17" t="inlineStr">
        <x:is>
          <x:t xml:space="preserve">Drake et al. 2015</x:t>
        </x:is>
      </x:c>
      <x:c r="U17" t="inlineStr">
        <x:is>
          <x:t xml:space="preserve">peer-reviewed demand model</x:t>
        </x:is>
      </x:c>
      <x:c r="V17" t="inlineStr">
        <x:is>
          <x:t xml:space="preserve">https://pmc.ncbi.nlm.nih.gov/articles/PMC4293091/</x:t>
        </x:is>
      </x:c>
      <x:c r="X17" t="inlineStr">
        <x:is>
          <x:t xml:space="preserve">Drake et al. used 85% hospitalization as an upper scenario anchor for improved response.</x:t>
        </x:is>
      </x:c>
      <x:c r="Y17" t="inlineStr">
        <x:is>
          <x:t xml:space="preserve">Upper shape prior to keep the worst-case curve rising smoothly but below best-case trajectories.</x:t>
        </x:is>
      </x:c>
    </x:row>
    <x:row r="18">
      <x:c r="A18" t="inlineStr">
        <x:is>
          <x:t xml:space="preserve">WA_PH_03</x:t>
        </x:is>
      </x:c>
      <x:c r="B18" t="inlineStr">
        <x:is>
          <x:t xml:space="preserve">p_hosp</x:t>
        </x:is>
      </x:c>
      <x:c r="C18" s="4" t="n">
        <x:v>248</x:v>
      </x:c>
      <x:c r="D18" s="5" t="n">
        <x:v>41969</x:v>
      </x:c>
      <x:c r="E18" t="inlineStr">
        <x:is>
          <x:t xml:space="preserve">West Africa 2014-2015</x:t>
        </x:is>
      </x:c>
      <x:c r="F18" t="inlineStr">
        <x:is>
          <x:t xml:space="preserve">Guinea</x:t>
        </x:is>
      </x:c>
      <x:c r="G18" t="inlineStr">
        <x:is>
          <x:t xml:space="preserve">manual</x:t>
        </x:is>
      </x:c>
      <x:c r="H18" s="6" t="n">
        <x:v>0.7</x:v>
      </x:c>
      <x:c r="I18" s="7" t="n"/>
      <x:c r="J18" s="7" t="n"/>
      <x:c r="K18" s="8">
        <x:f>IF(G18="manual",H18,IF(G18="ratio",IFERROR(I18/J18,""),IF(G18="one_minus_ratio",IFERROR(1-(I18/J18),""),"")))</x:f>
        <x:v>0.7</x:v>
      </x:c>
      <x:c r="L18" t="inlineStr">
        <x:is>
          <x:t xml:space="preserve">proportion</x:t>
        </x:is>
      </x:c>
      <x:c r="M18" t="inlineStr">
        <x:is>
          <x:t xml:space="preserve">main_fit</x:t>
        </x:is>
      </x:c>
      <x:c r="N18" t="inlineStr">
        <x:is>
          <x:t xml:space="preserve">official_target_or_status</x:t>
        </x:is>
      </x:c>
      <x:c r="O18" t="inlineStr">
        <x:is>
          <x:t xml:space="preserve">YES</x:t>
        </x:is>
      </x:c>
      <x:c r="P18" s="9" t="n">
        <x:v>1</x:v>
      </x:c>
      <x:c r="Q18" t="inlineStr">
        <x:is>
          <x:t xml:space="preserve">up</x:t>
        </x:is>
      </x:c>
      <x:c r="R18" s="9" t="n">
        <x:v>0.3</x:v>
      </x:c>
      <x:c r="S18" s="9" t="n">
        <x:v>0.95</x:v>
      </x:c>
      <x:c r="T18" t="inlineStr">
        <x:is>
          <x:t xml:space="preserve">WHO Roadmap Situation Report 26 Nov 2014</x:t>
        </x:is>
      </x:c>
      <x:c r="U18" t="inlineStr">
        <x:is>
          <x:t xml:space="preserve">WHO situation report</x:t>
        </x:is>
      </x:c>
      <x:c r="V18" t="inlineStr">
        <x:is>
          <x:t xml:space="preserve">https://reliefweb.int/report/liberia/ebola-response-roadmap-situation-report-update-26-november-2014</x:t>
        </x:is>
      </x:c>
      <x:c r="X18" t="inlineStr">
        <x:is>
          <x:t xml:space="preserve">WHO reported Guinea was isolating over 70% of all reported cases of EVD.</x:t>
        </x:is>
      </x:c>
      <x:c r="Y18" t="inlineStr">
        <x:is>
          <x:t xml:space="preserve">Lower-bound anchor for late-2014 formal hospitalization/isolation probability.</x:t>
        </x:is>
      </x:c>
    </x:row>
    <x:row r="19">
      <x:c r="A19" t="inlineStr">
        <x:is>
          <x:t xml:space="preserve">WA_PH_04</x:t>
        </x:is>
      </x:c>
      <x:c r="B19" t="inlineStr">
        <x:is>
          <x:t xml:space="preserve">p_hosp</x:t>
        </x:is>
      </x:c>
      <x:c r="C19" s="4" t="n">
        <x:v>255</x:v>
      </x:c>
      <x:c r="D19" s="5" t="n">
        <x:v>41976</x:v>
      </x:c>
      <x:c r="E19" t="inlineStr">
        <x:is>
          <x:t xml:space="preserve">West Africa 2014-2015</x:t>
        </x:is>
      </x:c>
      <x:c r="F19" t="inlineStr">
        <x:is>
          <x:t xml:space="preserve">Regional</x:t>
        </x:is>
      </x:c>
      <x:c r="G19" t="inlineStr">
        <x:is>
          <x:t xml:space="preserve">manual</x:t>
        </x:is>
      </x:c>
      <x:c r="H19" s="6" t="n">
        <x:v>0.7</x:v>
      </x:c>
      <x:c r="I19" s="7" t="n"/>
      <x:c r="J19" s="7" t="n"/>
      <x:c r="K19" s="8">
        <x:f>IF(G19="manual",H19,IF(G19="ratio",IFERROR(I19/J19,""),IF(G19="one_minus_ratio",IFERROR(1-(I19/J19),""),"")))</x:f>
        <x:v>0.7</x:v>
      </x:c>
      <x:c r="L19" t="inlineStr">
        <x:is>
          <x:t xml:space="preserve">proportion</x:t>
        </x:is>
      </x:c>
      <x:c r="M19" t="inlineStr">
        <x:is>
          <x:t xml:space="preserve">secondary_fit</x:t>
        </x:is>
      </x:c>
      <x:c r="N19" t="inlineStr">
        <x:is>
          <x:t xml:space="preserve">official_target_or_status</x:t>
        </x:is>
      </x:c>
      <x:c r="O19" t="inlineStr">
        <x:is>
          <x:t xml:space="preserve">YES</x:t>
        </x:is>
      </x:c>
      <x:c r="P19" s="9" t="n">
        <x:v>0.75</x:v>
      </x:c>
      <x:c r="Q19" t="inlineStr">
        <x:is>
          <x:t xml:space="preserve">up</x:t>
        </x:is>
      </x:c>
      <x:c r="R19" s="9" t="n">
        <x:v>0.3</x:v>
      </x:c>
      <x:c r="S19" s="9" t="n">
        <x:v>0.95</x:v>
      </x:c>
      <x:c r="T19" t="inlineStr">
        <x:is>
          <x:t xml:space="preserve">WHO Roadmap Situation Report 3 Dec 2014</x:t>
        </x:is>
      </x:c>
      <x:c r="U19" t="inlineStr">
        <x:is>
          <x:t xml:space="preserve">WHO situation report</x:t>
        </x:is>
      </x:c>
      <x:c r="V19" t="inlineStr">
        <x:is>
          <x:t xml:space="preserve">https://reliefweb.int/report/sierra-leone/ebola-response-roadmap-situation-report-update-3-december-2014</x:t>
        </x:is>
      </x:c>
      <x:c r="X19" t="inlineStr">
        <x:is>
          <x:t xml:space="preserve">WHO stated the 70% isolation/treatment target had likely been met in most districts.</x:t>
        </x:is>
      </x:c>
      <x:c r="Y19" t="inlineStr">
        <x:is>
          <x:t xml:space="preserve">Supportive late-2014 anchor.</x:t>
        </x:is>
      </x:c>
    </x:row>
    <x:row r="20">
      <x:c r="A20" t="inlineStr">
        <x:is>
          <x:t xml:space="preserve">WA_ETU_00</x:t>
        </x:is>
      </x:c>
      <x:c r="B20" t="inlineStr">
        <x:is>
          <x:t xml:space="preserve">p_ETU</x:t>
        </x:is>
      </x:c>
      <x:c r="C20" s="4" t="n">
        <x:v>0</x:v>
      </x:c>
      <x:c r="D20" s="5" t="n">
        <x:v>41721</x:v>
      </x:c>
      <x:c r="E20" t="inlineStr">
        <x:is>
          <x:t xml:space="preserve">West Africa 2014-2015</x:t>
        </x:is>
      </x:c>
      <x:c r="F20" t="inlineStr">
        <x:is>
          <x:t xml:space="preserve">Regional</x:t>
        </x:is>
      </x:c>
      <x:c r="G20" t="inlineStr">
        <x:is>
          <x:t xml:space="preserve">manual</x:t>
        </x:is>
      </x:c>
      <x:c r="H20" s="6" t="n">
        <x:v>0</x:v>
      </x:c>
      <x:c r="I20" s="7" t="n"/>
      <x:c r="J20" s="7" t="n"/>
      <x:c r="K20" s="8">
        <x:f>IF(G20="manual",H20,IF(G20="ratio",IFERROR(I20/J20,""),IF(G20="one_minus_ratio",IFERROR(1-(I20/J20),""),"")))</x:f>
        <x:v>0</x:v>
      </x:c>
      <x:c r="L20" t="inlineStr">
        <x:is>
          <x:t xml:space="preserve">proportion</x:t>
        </x:is>
      </x:c>
      <x:c r="M20" t="inlineStr">
        <x:is>
          <x:t xml:space="preserve">boundary_anchor</x:t>
        </x:is>
      </x:c>
      <x:c r="N20" t="inlineStr">
        <x:is>
          <x:t xml:space="preserve">constructed_boundary</x:t>
        </x:is>
      </x:c>
      <x:c r="O20" t="inlineStr">
        <x:is>
          <x:t xml:space="preserve">YES</x:t>
        </x:is>
      </x:c>
      <x:c r="P20" s="9" t="n">
        <x:v>0.6</x:v>
      </x:c>
      <x:c r="Q20" t="inlineStr">
        <x:is>
          <x:t xml:space="preserve">up</x:t>
        </x:is>
      </x:c>
      <x:c r="R20" s="9" t="n">
        <x:v>0</x:v>
      </x:c>
      <x:c r="S20" s="9" t="n">
        <x:v>0.9</x:v>
      </x:c>
      <x:c r="T20" t="inlineStr">
        <x:is>
          <x:t xml:space="preserve">UNMEER Progress Report 2015 + CDC Liberia ETU chronology</x:t>
        </x:is>
      </x:c>
      <x:c r="U20" t="inlineStr">
        <x:is>
          <x:t xml:space="preserve">UN report + CDC MMWR</x:t>
        </x:is>
      </x:c>
      <x:c r="V20" t="inlineStr">
        <x:is>
          <x:t xml:space="preserve">https://ebolaresponse.un.org/sites/default/files/web_ebola_progress_report_en.pdf</x:t>
        </x:is>
      </x:c>
      <x:c r="W20" t="inlineStr">
        <x:is>
          <x:t xml:space="preserve">https://www.cdc.gov/mmwr/preview/mmwrhtml/mm63e1114a4.htm</x:t>
        </x:is>
      </x:c>
      <x:c r="X20" t="inlineStr">
        <x:is>
          <x:t xml:space="preserve">The international response report states that the classic response was quickly outstripped and that there were only just over 500 ETU beds across the three countries in late August 2014; CDC also notes early Liberia ETUs existed before sustained case use. This supports the modelling choice that dedicated ETU share was effectively zero at the start of the regional crisis phase.</x:t>
        </x:is>
      </x:c>
      <x:c r="Y20" t="inlineStr">
        <x:is>
          <x:t xml:space="preserve">Constructed boundary anchor requested by user: ETU share at scenario day 0 set to 0 because dedicated ETU capacity was not yet functionally available across the regional outbreak.</x:t>
        </x:is>
      </x:c>
    </x:row>
    <x:row r="21">
      <x:c r="A21" t="inlineStr">
        <x:is>
          <x:t xml:space="preserve">WA_ETU_01</x:t>
        </x:is>
      </x:c>
      <x:c r="B21" t="inlineStr">
        <x:is>
          <x:t xml:space="preserve">p_ETU</x:t>
        </x:is>
      </x:c>
      <x:c r="C21" s="4" t="n">
        <x:v>195</x:v>
      </x:c>
      <x:c r="D21" s="5" t="n">
        <x:v>41916</x:v>
      </x:c>
      <x:c r="E21" t="inlineStr">
        <x:is>
          <x:t xml:space="preserve">West Africa 2014-2015</x:t>
        </x:is>
      </x:c>
      <x:c r="F21" t="inlineStr">
        <x:is>
          <x:t xml:space="preserve">Liberia</x:t>
        </x:is>
      </x:c>
      <x:c r="G21" t="inlineStr">
        <x:is>
          <x:t xml:space="preserve">manual</x:t>
        </x:is>
      </x:c>
      <x:c r="H21" s="6" t="n">
        <x:v>0.211604</x:v>
      </x:c>
      <x:c r="I21" s="7" t="n"/>
      <x:c r="J21" s="7" t="n"/>
      <x:c r="K21" s="8">
        <x:f>IF(G21="manual",H21,IF(G21="ratio",IFERROR(I21/J21,""),IF(G21="one_minus_ratio",IFERROR(1-(I21/J21),""),"")))</x:f>
        <x:v>0.211604</x:v>
      </x:c>
      <x:c r="L21" t="inlineStr">
        <x:is>
          <x:t xml:space="preserve">proportion</x:t>
        </x:is>
      </x:c>
      <x:c r="M21" t="inlineStr">
        <x:is>
          <x:t xml:space="preserve">secondary_fit</x:t>
        </x:is>
      </x:c>
      <x:c r="N21" t="inlineStr">
        <x:is>
          <x:t xml:space="preserve">capacity_ratio_proxy</x:t>
        </x:is>
      </x:c>
      <x:c r="O21" t="inlineStr">
        <x:is>
          <x:t xml:space="preserve">YES</x:t>
        </x:is>
      </x:c>
      <x:c r="P21" s="9" t="n">
        <x:v>0.75</x:v>
      </x:c>
      <x:c r="Q21" t="inlineStr">
        <x:is>
          <x:t xml:space="preserve">up</x:t>
        </x:is>
      </x:c>
      <x:c r="R21" s="9" t="n">
        <x:v>0</x:v>
      </x:c>
      <x:c r="S21" s="9" t="n">
        <x:v>0.9</x:v>
      </x:c>
      <x:c r="T21" t="inlineStr">
        <x:is>
          <x:t xml:space="preserve">WHO Roadmap Situation Report 8 Oct 2014</x:t>
        </x:is>
      </x:c>
      <x:c r="U21" t="inlineStr">
        <x:is>
          <x:t xml:space="preserve">WHO situation report</x:t>
        </x:is>
      </x:c>
      <x:c r="V21" t="inlineStr">
        <x:is>
          <x:t xml:space="preserve">https://iris.who.int/bitstream/handle/10665/136020/roadmapsitrep_8Oct2014_eng.pdf</x:t>
        </x:is>
      </x:c>
      <x:c r="X21" t="inlineStr">
        <x:is>
          <x:t xml:space="preserve">Liberia had 620 current beds versus 2,930 estimated beds required (21.2% of estimated demand).</x:t>
        </x:is>
      </x:c>
      <x:c r="Y21" t="inlineStr">
        <x:is>
          <x:t xml:space="preserve">Capacity ratio used as an early ETU availability proxy.</x:t>
        </x:is>
      </x:c>
    </x:row>
    <x:row r="22">
      <x:c r="A22" t="inlineStr">
        <x:is>
          <x:t xml:space="preserve">WA_ETU_02</x:t>
        </x:is>
      </x:c>
      <x:c r="B22" t="inlineStr">
        <x:is>
          <x:t xml:space="preserve">p_ETU</x:t>
        </x:is>
      </x:c>
      <x:c r="C22" s="4" t="n">
        <x:v>203</x:v>
      </x:c>
      <x:c r="D22" s="5" t="n">
        <x:v>41924</x:v>
      </x:c>
      <x:c r="E22" t="inlineStr">
        <x:is>
          <x:t xml:space="preserve">West Africa 2014-2015</x:t>
        </x:is>
      </x:c>
      <x:c r="F22" t="inlineStr">
        <x:is>
          <x:t xml:space="preserve">Liberia</x:t>
        </x:is>
      </x:c>
      <x:c r="G22" t="inlineStr">
        <x:is>
          <x:t xml:space="preserve">manual</x:t>
        </x:is>
      </x:c>
      <x:c r="H22" s="6" t="n">
        <x:v>0.2</x:v>
      </x:c>
      <x:c r="I22" s="7" t="n"/>
      <x:c r="J22" s="7" t="n"/>
      <x:c r="K22" s="8">
        <x:f>IF(G22="manual",H22,IF(G22="ratio",IFERROR(I22/J22,""),IF(G22="one_minus_ratio",IFERROR(1-(I22/J22),""),"")))</x:f>
        <x:v>0.2</x:v>
      </x:c>
      <x:c r="L22" t="inlineStr">
        <x:is>
          <x:t xml:space="preserve">proportion</x:t>
        </x:is>
      </x:c>
      <x:c r="M22" t="inlineStr">
        <x:is>
          <x:t xml:space="preserve">main_fit</x:t>
        </x:is>
      </x:c>
      <x:c r="N22" t="inlineStr">
        <x:is>
          <x:t xml:space="preserve">model_derived_operational_estimate</x:t>
        </x:is>
      </x:c>
      <x:c r="O22" t="inlineStr">
        <x:is>
          <x:t xml:space="preserve">YES</x:t>
        </x:is>
      </x:c>
      <x:c r="P22" s="9" t="n">
        <x:v>1</x:v>
      </x:c>
      <x:c r="Q22" t="inlineStr">
        <x:is>
          <x:t xml:space="preserve">up</x:t>
        </x:is>
      </x:c>
      <x:c r="R22" s="9" t="n">
        <x:v>0</x:v>
      </x:c>
      <x:c r="S22" s="9" t="n">
        <x:v>0.9</x:v>
      </x:c>
      <x:c r="T22" t="inlineStr">
        <x:is>
          <x:t xml:space="preserve">Washington &amp; Meltzer 2015</x:t>
        </x:is>
      </x:c>
      <x:c r="U22" t="inlineStr">
        <x:is>
          <x:t xml:space="preserve">CDC MMWR operational estimate</x:t>
        </x:is>
      </x:c>
      <x:c r="V22" t="inlineStr">
        <x:is>
          <x:t xml:space="preserve">https://pmc.ncbi.nlm.nih.gov/articles/PMC4584561/</x:t>
        </x:is>
      </x:c>
      <x:c r="X22" t="inlineStr">
        <x:is>
          <x:t xml:space="preserve">Washington &amp; Meltzer estimated 20% of patients were in ETUs during 23 Sep–31 Oct 2014.</x:t>
        </x:is>
      </x:c>
      <x:c r="Y22" t="inlineStr">
        <x:is>
          <x:t xml:space="preserve">Direct operational ETU-share anchor.</x:t>
        </x:is>
      </x:c>
    </x:row>
    <x:row r="23">
      <x:c r="A23" t="inlineStr">
        <x:is>
          <x:t xml:space="preserve">WA_ETU_03</x:t>
        </x:is>
      </x:c>
      <x:c r="B23" t="inlineStr">
        <x:is>
          <x:t xml:space="preserve">p_ETU</x:t>
        </x:is>
      </x:c>
      <x:c r="C23" s="4" t="n">
        <x:v>203</x:v>
      </x:c>
      <x:c r="D23" s="5" t="n">
        <x:v>41924</x:v>
      </x:c>
      <x:c r="E23" t="inlineStr">
        <x:is>
          <x:t xml:space="preserve">West Africa 2014-2015</x:t>
        </x:is>
      </x:c>
      <x:c r="F23" t="inlineStr">
        <x:is>
          <x:t xml:space="preserve">Liberia</x:t>
        </x:is>
      </x:c>
      <x:c r="G23" t="inlineStr">
        <x:is>
          <x:t xml:space="preserve">manual</x:t>
        </x:is>
      </x:c>
      <x:c r="H23" s="6" t="n">
        <x:v>0.363636</x:v>
      </x:c>
      <x:c r="I23" s="7" t="n"/>
      <x:c r="J23" s="7" t="n"/>
      <x:c r="K23" s="8">
        <x:f>IF(G23="manual",H23,IF(G23="ratio",IFERROR(I23/J23,""),IF(G23="one_minus_ratio",IFERROR(1-(I23/J23),""),"")))</x:f>
        <x:v>0.363636</x:v>
      </x:c>
      <x:c r="L23" t="inlineStr">
        <x:is>
          <x:t xml:space="preserve">proportion</x:t>
        </x:is>
      </x:c>
      <x:c r="M23" t="inlineStr">
        <x:is>
          <x:t xml:space="preserve">secondary_fit</x:t>
        </x:is>
      </x:c>
      <x:c r="N23" t="inlineStr">
        <x:is>
          <x:t xml:space="preserve">derived_direct</x:t>
        </x:is>
      </x:c>
      <x:c r="O23" t="inlineStr">
        <x:is>
          <x:t xml:space="preserve">YES</x:t>
        </x:is>
      </x:c>
      <x:c r="P23" s="9" t="n">
        <x:v>0.75</x:v>
      </x:c>
      <x:c r="Q23" t="inlineStr">
        <x:is>
          <x:t xml:space="preserve">up</x:t>
        </x:is>
      </x:c>
      <x:c r="R23" s="9" t="n">
        <x:v>0</x:v>
      </x:c>
      <x:c r="S23" s="9" t="n">
        <x:v>0.9</x:v>
      </x:c>
      <x:c r="T23" t="inlineStr">
        <x:is>
          <x:t xml:space="preserve">Washington &amp; Meltzer 2015</x:t>
        </x:is>
      </x:c>
      <x:c r="U23" t="inlineStr">
        <x:is>
          <x:t xml:space="preserve">CDC MMWR operational estimate</x:t>
        </x:is>
      </x:c>
      <x:c r="V23" t="inlineStr">
        <x:is>
          <x:t xml:space="preserve">https://pmc.ncbi.nlm.nih.gov/articles/PMC4584561/</x:t>
        </x:is>
      </x:c>
      <x:c r="X23" t="inlineStr">
        <x:is>
          <x:t xml:space="preserve">Washington &amp; Meltzer estimated 20% in ETUs and 35% in CCC/reduced-risk care.</x:t>
        </x:is>
      </x:c>
      <x:c r="Y23" t="inlineStr">
        <x:is>
          <x:t xml:space="preserve">Derived as 20% ETU divided by (20% ETU + 35% CCC/reduced-risk care), i.e. ETU share among formal isolation settings.</x:t>
        </x:is>
      </x:c>
    </x:row>
    <x:row r="24">
      <x:c r="A24" t="inlineStr">
        <x:is>
          <x:t xml:space="preserve">WA_ETU_04</x:t>
        </x:is>
      </x:c>
      <x:c r="B24" t="inlineStr">
        <x:is>
          <x:t xml:space="preserve">p_ETU</x:t>
        </x:is>
      </x:c>
      <x:c r="C24" s="4" t="n">
        <x:v>276</x:v>
      </x:c>
      <x:c r="D24" s="5" t="n">
        <x:v>41997</x:v>
      </x:c>
      <x:c r="E24" t="inlineStr">
        <x:is>
          <x:t xml:space="preserve">West Africa 2014-2015</x:t>
        </x:is>
      </x:c>
      <x:c r="F24" t="inlineStr">
        <x:is>
          <x:t xml:space="preserve">Sierra Leone</x:t>
        </x:is>
      </x:c>
      <x:c r="G24" t="inlineStr">
        <x:is>
          <x:t xml:space="preserve">ratio</x:t>
        </x:is>
      </x:c>
      <x:c r="H24" s="7" t="n"/>
      <x:c r="I24" s="6" t="n">
        <x:v>833</x:v>
      </x:c>
      <x:c r="J24" s="6" t="n">
        <x:v>1124</x:v>
      </x:c>
      <x:c r="K24" s="8">
        <x:f>IF(G24="manual",H24,IF(G24="ratio",IFERROR(I24/J24,""),IF(G24="one_minus_ratio",IFERROR(1-(I24/J24),""),"")))</x:f>
        <x:v>0.7411032028469751</x:v>
      </x:c>
      <x:c r="L24" t="inlineStr">
        <x:is>
          <x:t xml:space="preserve">proportion</x:t>
        </x:is>
      </x:c>
      <x:c r="M24" t="inlineStr">
        <x:is>
          <x:t xml:space="preserve">main_fit</x:t>
        </x:is>
      </x:c>
      <x:c r="N24" t="inlineStr">
        <x:is>
          <x:t xml:space="preserve">derived_direct</x:t>
        </x:is>
      </x:c>
      <x:c r="O24" t="inlineStr">
        <x:is>
          <x:t xml:space="preserve">YES</x:t>
        </x:is>
      </x:c>
      <x:c r="P24" s="9" t="n">
        <x:v>1</x:v>
      </x:c>
      <x:c r="Q24" t="inlineStr">
        <x:is>
          <x:t xml:space="preserve">up</x:t>
        </x:is>
      </x:c>
      <x:c r="R24" s="9" t="n">
        <x:v>0</x:v>
      </x:c>
      <x:c r="S24" s="9" t="n">
        <x:v>0.9</x:v>
      </x:c>
      <x:c r="T24" t="inlineStr">
        <x:is>
          <x:t xml:space="preserve">WHO Roadmap Situation Report 24 Dec 2014</x:t>
        </x:is>
      </x:c>
      <x:c r="U24" t="inlineStr">
        <x:is>
          <x:t xml:space="preserve">WHO situation report</x:t>
        </x:is>
      </x:c>
      <x:c r="V24" t="inlineStr">
        <x:is>
          <x:t xml:space="preserve">https://reliefweb.int/report/sierra-leone/ebola-response-roadmap-situation-report-update-24-december-2014</x:t>
        </x:is>
      </x:c>
      <x:c r="X24" t="inlineStr">
        <x:is>
          <x:t xml:space="preserve">WHO reported 833 ETC beds and 291 CCC beds operational in Sierra Leone.</x:t>
        </x:is>
      </x:c>
      <x:c r="Y24" t="inlineStr">
        <x:is>
          <x:t xml:space="preserve">Derived as 833 / (833 + 291) to proxy ETU share among dedicated Ebola care beds.</x:t>
        </x:is>
      </x:c>
    </x:row>
    <x:row r="25">
      <x:c r="A25" t="inlineStr">
        <x:is>
          <x:t xml:space="preserve">WA_IPC_00</x:t>
        </x:is>
      </x:c>
      <x:c r="B25" t="inlineStr">
        <x:is>
          <x:t xml:space="preserve">latent_IPC</x:t>
        </x:is>
      </x:c>
      <x:c r="C25" s="4" t="n">
        <x:v>0</x:v>
      </x:c>
      <x:c r="D25" s="5" t="n">
        <x:v>41721</x:v>
      </x:c>
      <x:c r="E25" t="inlineStr">
        <x:is>
          <x:t xml:space="preserve">West Africa 2014-2015</x:t>
        </x:is>
      </x:c>
      <x:c r="F25" t="inlineStr">
        <x:is>
          <x:t xml:space="preserve">Regional</x:t>
        </x:is>
      </x:c>
      <x:c r="G25" t="inlineStr">
        <x:is>
          <x:t xml:space="preserve">manual</x:t>
        </x:is>
      </x:c>
      <x:c r="H25" s="6" t="n">
        <x:v>0.05</x:v>
      </x:c>
      <x:c r="I25" s="7" t="n"/>
      <x:c r="J25" s="7" t="n"/>
      <x:c r="K25" s="8">
        <x:f>IF(G25="manual",H25,IF(G25="ratio",IFERROR(I25/J25,""),IF(G25="one_minus_ratio",IFERROR(1-(I25/J25),""),"")))</x:f>
        <x:v>0.05</x:v>
      </x:c>
      <x:c r="L25" t="inlineStr">
        <x:is>
          <x:t xml:space="preserve">index (0-1)</x:t>
        </x:is>
      </x:c>
      <x:c r="M25" t="inlineStr">
        <x:is>
          <x:t xml:space="preserve">boundary_anchor</x:t>
        </x:is>
      </x:c>
      <x:c r="N25" t="inlineStr">
        <x:is>
          <x:t xml:space="preserve">constructed_boundary</x:t>
        </x:is>
      </x:c>
      <x:c r="O25" t="inlineStr">
        <x:is>
          <x:t xml:space="preserve">YES</x:t>
        </x:is>
      </x:c>
      <x:c r="P25" s="9" t="n">
        <x:v>0.6</x:v>
      </x:c>
      <x:c r="Q25" t="inlineStr">
        <x:is>
          <x:t xml:space="preserve">up</x:t>
        </x:is>
      </x:c>
      <x:c r="R25" s="9" t="n">
        <x:v>0</x:v>
      </x:c>
      <x:c r="S25" s="9" t="n">
        <x:v>0.95</x:v>
      </x:c>
      <x:c r="T25" t="inlineStr">
        <x:is>
          <x:t xml:space="preserve">Cooper et al. 2016</x:t>
        </x:is>
      </x:c>
      <x:c r="U25" t="inlineStr">
        <x:is>
          <x:t xml:space="preserve">peer-reviewed IPC review</x:t>
        </x:is>
      </x:c>
      <x:c r="V25" t="inlineStr">
        <x:is>
          <x:t xml:space="preserve">https://pmc.ncbi.nlm.nih.gov/articles/PMC4702360/</x:t>
        </x:is>
      </x:c>
      <x:c r="X25" t="inlineStr">
        <x:is>
          <x:t xml:space="preserve">Before the outbreak, Liberia had no national IPC guidance and no dedicated IPC staff at any level.</x:t>
        </x:is>
      </x:c>
      <x:c r="Y25" t="inlineStr">
        <x:is>
          <x:t xml:space="preserve">Constructed early IPC-readiness boundary reflecting very low baseline preparedness.</x:t>
        </x:is>
      </x:c>
    </x:row>
    <x:row r="26">
      <x:c r="A26" t="inlineStr">
        <x:is>
          <x:t xml:space="preserve">WA_IPC_01</x:t>
        </x:is>
      </x:c>
      <x:c r="B26" t="inlineStr">
        <x:is>
          <x:t xml:space="preserve">latent_IPC</x:t>
        </x:is>
      </x:c>
      <x:c r="C26" s="4" t="n">
        <x:v>194</x:v>
      </x:c>
      <x:c r="D26" s="5" t="n">
        <x:v>41915</x:v>
      </x:c>
      <x:c r="E26" t="inlineStr">
        <x:is>
          <x:t xml:space="preserve">West Africa 2014-2015</x:t>
        </x:is>
      </x:c>
      <x:c r="F26" t="inlineStr">
        <x:is>
          <x:t xml:space="preserve">Sierra Leone</x:t>
        </x:is>
      </x:c>
      <x:c r="G26" t="inlineStr">
        <x:is>
          <x:t xml:space="preserve">manual</x:t>
        </x:is>
      </x:c>
      <x:c r="H26" s="6" t="n">
        <x:v>0.1</x:v>
      </x:c>
      <x:c r="I26" s="7" t="n"/>
      <x:c r="J26" s="7" t="n"/>
      <x:c r="K26" s="8">
        <x:f>IF(G26="manual",H26,IF(G26="ratio",IFERROR(I26/J26,""),IF(G26="one_minus_ratio",IFERROR(1-(I26/J26),""),"")))</x:f>
        <x:v>0.1</x:v>
      </x:c>
      <x:c r="L26" t="inlineStr">
        <x:is>
          <x:t xml:space="preserve">index (0-1)</x:t>
        </x:is>
      </x:c>
      <x:c r="M26" t="inlineStr">
        <x:is>
          <x:t xml:space="preserve">main_fit</x:t>
        </x:is>
      </x:c>
      <x:c r="N26" t="inlineStr">
        <x:is>
          <x:t xml:space="preserve">constructed_from_direct_audit</x:t>
        </x:is>
      </x:c>
      <x:c r="O26" t="inlineStr">
        <x:is>
          <x:t xml:space="preserve">YES</x:t>
        </x:is>
      </x:c>
      <x:c r="P26" s="9" t="n">
        <x:v>1</x:v>
      </x:c>
      <x:c r="Q26" t="inlineStr">
        <x:is>
          <x:t xml:space="preserve">up</x:t>
        </x:is>
      </x:c>
      <x:c r="R26" s="9" t="n">
        <x:v>0</x:v>
      </x:c>
      <x:c r="S26" s="9" t="n">
        <x:v>0.95</x:v>
      </x:c>
      <x:c r="T26" t="inlineStr">
        <x:is>
          <x:t xml:space="preserve">Pathmanathan et al. 2014</x:t>
        </x:is>
      </x:c>
      <x:c r="U26" t="inlineStr">
        <x:is>
          <x:t xml:space="preserve">CDC MMWR operational IPC audit</x:t>
        </x:is>
      </x:c>
      <x:c r="V26" t="inlineStr">
        <x:is>
          <x:t xml:space="preserve">https://www.cdc.gov/mmwr/pdf/wk/mm63e1209a3.pdf</x:t>
        </x:is>
      </x:c>
      <x:c r="X26" t="inlineStr">
        <x:is>
          <x:t xml:space="preserve">The audit found no IPC SOPs, no dedicated IPC practitioner in any district, and very limited PPE/screening readiness. The 0.10 value is a simple constructed mean of key directly audited readiness components.</x:t>
        </x:is>
      </x:c>
      <x:c r="Y26" t="inlineStr">
        <x:is>
          <x:t xml:space="preserve">Constructed latent IPC anchor from directly observed readiness components.</x:t>
        </x:is>
      </x:c>
    </x:row>
    <x:row r="27">
      <x:c r="A27" t="inlineStr">
        <x:is>
          <x:t xml:space="preserve">WA_IPC_02</x:t>
        </x:is>
      </x:c>
      <x:c r="B27" t="inlineStr">
        <x:is>
          <x:t xml:space="preserve">latent_IPC</x:t>
        </x:is>
      </x:c>
      <x:c r="C27" s="4" t="n">
        <x:v>210</x:v>
      </x:c>
      <x:c r="D27" s="5" t="n">
        <x:v>41931</x:v>
      </x:c>
      <x:c r="E27" t="inlineStr">
        <x:is>
          <x:t xml:space="preserve">West Africa 2014-2015</x:t>
        </x:is>
      </x:c>
      <x:c r="F27" t="inlineStr">
        <x:is>
          <x:t xml:space="preserve">Liberia</x:t>
        </x:is>
      </x:c>
      <x:c r="G27" t="inlineStr">
        <x:is>
          <x:t xml:space="preserve">manual</x:t>
        </x:is>
      </x:c>
      <x:c r="H27" s="6" t="n">
        <x:v>0.3</x:v>
      </x:c>
      <x:c r="I27" s="7" t="n"/>
      <x:c r="J27" s="7" t="n"/>
      <x:c r="K27" s="8">
        <x:f>IF(G27="manual",H27,IF(G27="ratio",IFERROR(I27/J27,""),IF(G27="one_minus_ratio",IFERROR(1-(I27/J27),""),"")))</x:f>
        <x:v>0.3</x:v>
      </x:c>
      <x:c r="L27" t="inlineStr">
        <x:is>
          <x:t xml:space="preserve">index (0-1)</x:t>
        </x:is>
      </x:c>
      <x:c r="M27" t="inlineStr">
        <x:is>
          <x:t xml:space="preserve">secondary_fit</x:t>
        </x:is>
      </x:c>
      <x:c r="N27" t="inlineStr">
        <x:is>
          <x:t xml:space="preserve">constructed_from_intervention_context</x:t>
        </x:is>
      </x:c>
      <x:c r="O27" t="inlineStr">
        <x:is>
          <x:t xml:space="preserve">YES</x:t>
        </x:is>
      </x:c>
      <x:c r="P27" s="9" t="n">
        <x:v>0.75</x:v>
      </x:c>
      <x:c r="Q27" t="inlineStr">
        <x:is>
          <x:t xml:space="preserve">up</x:t>
        </x:is>
      </x:c>
      <x:c r="R27" s="9" t="n">
        <x:v>0</x:v>
      </x:c>
      <x:c r="S27" s="9" t="n">
        <x:v>0.95</x:v>
      </x:c>
      <x:c r="T27" t="inlineStr">
        <x:is>
          <x:t xml:space="preserve">Lewnard et al. 2014 + Rivers et al. 2014</x:t>
        </x:is>
      </x:c>
      <x:c r="U27" t="inlineStr">
        <x:is>
          <x:t xml:space="preserve">peer-reviewed model/intervention context</x:t>
        </x:is>
      </x:c>
      <x:c r="V27" t="inlineStr">
        <x:is>
          <x:t xml:space="preserve">https://pubmed.ncbi.nlm.nih.gov/25455986/</x:t>
        </x:is>
      </x:c>
      <x:c r="W27" t="inlineStr">
        <x:is>
          <x:t xml:space="preserve">https://pmc.ncbi.nlm.nih.gov/articles/PMC4399521/</x:t>
        </x:is>
      </x:c>
      <x:c r="X27" t="inlineStr">
        <x:is>
          <x:t xml:space="preserve">Contemporaneous modelling and control analyses treated protective-kit effectiveness and infection-control improvements as partial but meaningful reductions in hospital transmission.</x:t>
        </x:is>
      </x:c>
      <x:c r="Y27" t="inlineStr">
        <x:is>
          <x:t xml:space="preserve">Constructed mid-response latent IPC anchor supported by intervention-context literature.</x:t>
        </x:is>
      </x:c>
    </x:row>
    <x:row r="28">
      <x:c r="A28" t="inlineStr">
        <x:is>
          <x:t xml:space="preserve">WA_IPC_03</x:t>
        </x:is>
      </x:c>
      <x:c r="B28" t="inlineStr">
        <x:is>
          <x:t xml:space="preserve">latent_IPC</x:t>
        </x:is>
      </x:c>
      <x:c r="C28" s="4" t="n">
        <x:v>313</x:v>
      </x:c>
      <x:c r="D28" s="5" t="n">
        <x:v>42034</x:v>
      </x:c>
      <x:c r="E28" t="inlineStr">
        <x:is>
          <x:t xml:space="preserve">West Africa 2014-2015</x:t>
        </x:is>
      </x:c>
      <x:c r="F28" t="inlineStr">
        <x:is>
          <x:t xml:space="preserve">Liberia</x:t>
        </x:is>
      </x:c>
      <x:c r="G28" t="inlineStr">
        <x:is>
          <x:t xml:space="preserve">manual</x:t>
        </x:is>
      </x:c>
      <x:c r="H28" s="6" t="n">
        <x:v>0.8</x:v>
      </x:c>
      <x:c r="I28" s="7" t="n"/>
      <x:c r="J28" s="7" t="n"/>
      <x:c r="K28" s="8">
        <x:f>IF(G28="manual",H28,IF(G28="ratio",IFERROR(I28/J28,""),IF(G28="one_minus_ratio",IFERROR(1-(I28/J28),""),"")))</x:f>
        <x:v>0.8</x:v>
      </x:c>
      <x:c r="L28" t="inlineStr">
        <x:is>
          <x:t xml:space="preserve">index (0-1)</x:t>
        </x:is>
      </x:c>
      <x:c r="M28" t="inlineStr">
        <x:is>
          <x:t xml:space="preserve">shape_prior</x:t>
        </x:is>
      </x:c>
      <x:c r="N28" t="inlineStr">
        <x:is>
          <x:t xml:space="preserve">constructed_from_operational_outcome</x:t>
        </x:is>
      </x:c>
      <x:c r="O28" t="inlineStr">
        <x:is>
          <x:t xml:space="preserve">YES</x:t>
        </x:is>
      </x:c>
      <x:c r="P28" s="9" t="n">
        <x:v>0.5</x:v>
      </x:c>
      <x:c r="Q28" t="inlineStr">
        <x:is>
          <x:t xml:space="preserve">up</x:t>
        </x:is>
      </x:c>
      <x:c r="R28" s="9" t="n">
        <x:v>0</x:v>
      </x:c>
      <x:c r="S28" s="9" t="n">
        <x:v>0.95</x:v>
      </x:c>
      <x:c r="T28" t="inlineStr">
        <x:is>
          <x:t xml:space="preserve">Nyenswah et al. 2015</x:t>
        </x:is>
      </x:c>
      <x:c r="U28" t="inlineStr">
        <x:is>
          <x:t xml:space="preserve">CDC MMWR ring IPC intervention</x:t>
        </x:is>
      </x:c>
      <x:c r="V28" t="inlineStr">
        <x:is>
          <x:t xml:space="preserve">https://pmc.ncbi.nlm.nih.gov/articles/PMC4584827/</x:t>
        </x:is>
      </x:c>
      <x:c r="X28" t="inlineStr">
        <x:is>
          <x:t xml:space="preserve">After ring IPC in 10 non-ETU facilities, only one of 166 exposed non-ETU HCWs possibly became infected.</x:t>
        </x:is>
      </x:c>
      <x:c r="Y28" t="inlineStr">
        <x:is>
          <x:t xml:space="preserve">Constructed late latent IPC anchor reflecting markedly improved system IPC performance; not a direct field efficacy estimate.</x:t>
        </x:is>
      </x:c>
    </x:row>
    <x:row r="29">
      <x:c r="A29" t="inlineStr">
        <x:is>
          <x:t xml:space="preserve">WA_UFC_00</x:t>
        </x:is>
      </x:c>
      <x:c r="B29" t="inlineStr">
        <x:is>
          <x:t xml:space="preserve">p_unsafe_funeral_comm</x:t>
        </x:is>
      </x:c>
      <x:c r="C29" s="4" t="n">
        <x:v>0</x:v>
      </x:c>
      <x:c r="D29" s="5" t="n">
        <x:v>41721</x:v>
      </x:c>
      <x:c r="E29" t="inlineStr">
        <x:is>
          <x:t xml:space="preserve">West Africa 2014-2015</x:t>
        </x:is>
      </x:c>
      <x:c r="F29" t="inlineStr">
        <x:is>
          <x:t xml:space="preserve">Regional</x:t>
        </x:is>
      </x:c>
      <x:c r="G29" t="inlineStr">
        <x:is>
          <x:t xml:space="preserve">manual</x:t>
        </x:is>
      </x:c>
      <x:c r="H29" s="6" t="n">
        <x:v>1</x:v>
      </x:c>
      <x:c r="I29" s="7" t="n"/>
      <x:c r="J29" s="7" t="n"/>
      <x:c r="K29" s="8">
        <x:f>IF(G29="manual",H29,IF(G29="ratio",IFERROR(I29/J29,""),IF(G29="one_minus_ratio",IFERROR(1-(I29/J29),""),"")))</x:f>
        <x:v>1</x:v>
      </x:c>
      <x:c r="L29" t="inlineStr">
        <x:is>
          <x:t xml:space="preserve">proportion</x:t>
        </x:is>
      </x:c>
      <x:c r="M29" t="inlineStr">
        <x:is>
          <x:t xml:space="preserve">boundary_anchor</x:t>
        </x:is>
      </x:c>
      <x:c r="N29" t="inlineStr">
        <x:is>
          <x:t xml:space="preserve">constructed_boundary</x:t>
        </x:is>
      </x:c>
      <x:c r="O29" t="inlineStr">
        <x:is>
          <x:t xml:space="preserve">YES</x:t>
        </x:is>
      </x:c>
      <x:c r="P29" s="9" t="n">
        <x:v>0.6</x:v>
      </x:c>
      <x:c r="Q29" t="inlineStr">
        <x:is>
          <x:t xml:space="preserve">down</x:t>
        </x:is>
      </x:c>
      <x:c r="R29" s="9" t="n">
        <x:v>0</x:v>
      </x:c>
      <x:c r="S29" s="9" t="n">
        <x:v>1</x:v>
      </x:c>
      <x:c r="T29" t="inlineStr">
        <x:is>
          <x:t xml:space="preserve">CDC burial-practices MMWR + WHO safe burial field guidance</x:t>
        </x:is>
      </x:c>
      <x:c r="U29" t="inlineStr">
        <x:is>
          <x:t xml:space="preserve">CDC MMWR + WHO guidance</x:t>
        </x:is>
      </x:c>
      <x:c r="V29" t="inlineStr">
        <x:is>
          <x:t xml:space="preserve">https://pmc.ncbi.nlm.nih.gov/articles/PMC4584795/</x:t>
        </x:is>
      </x:c>
      <x:c r="W29" t="inlineStr">
        <x:is>
          <x:t xml:space="preserve">https://iris.who.int/items/82f9c672-5800-46bc-a3a1-426001e1a355</x:t>
        </x:is>
      </x:c>
      <x:c r="X29" t="inlineStr">
        <x:is>
          <x:t xml:space="preserve">Early West Africa transmission was repeatedly linked to traditional corpse handling and unsafe funerals, and the need for new safe-and-dignified burial protocols underscores that community funeral practice was initially almost entirely unsafe from an outbreak-control perspective.</x:t>
        </x:is>
      </x:c>
      <x:c r="Y29" t="inlineStr">
        <x:is>
          <x:t xml:space="preserve">Constructed boundary anchor requested by user: unsafe funeral after community death at scenario day 0 set to 1.0 as an initial worst-case boundary condition, not as a direct measured prevalence.</x:t>
        </x:is>
      </x:c>
    </x:row>
    <x:row r="30">
      <x:c r="A30" t="inlineStr">
        <x:is>
          <x:t xml:space="preserve">WA_UFC_01</x:t>
        </x:is>
      </x:c>
      <x:c r="B30" t="inlineStr">
        <x:is>
          <x:t xml:space="preserve">p_unsafe_funeral_comm</x:t>
        </x:is>
      </x:c>
      <x:c r="C30" s="4" t="n">
        <x:v>176</x:v>
      </x:c>
      <x:c r="D30" s="5" t="n">
        <x:v>41897</x:v>
      </x:c>
      <x:c r="E30" t="inlineStr">
        <x:is>
          <x:t xml:space="preserve">West Africa 2014-2015</x:t>
        </x:is>
      </x:c>
      <x:c r="F30" t="inlineStr">
        <x:is>
          <x:t xml:space="preserve">Pujehun, Sierra Leone</x:t>
        </x:is>
      </x:c>
      <x:c r="G30" t="inlineStr">
        <x:is>
          <x:t xml:space="preserve">manual</x:t>
        </x:is>
      </x:c>
      <x:c r="H30" s="6" t="n">
        <x:v>0.119048</x:v>
      </x:c>
      <x:c r="I30" s="7" t="n"/>
      <x:c r="J30" s="7" t="n"/>
      <x:c r="K30" s="8">
        <x:f>IF(G30="manual",H30,IF(G30="ratio",IFERROR(I30/J30,""),IF(G30="one_minus_ratio",IFERROR(1-(I30/J30),""),"")))</x:f>
        <x:v>0.119048</x:v>
      </x:c>
      <x:c r="L30" t="inlineStr">
        <x:is>
          <x:t xml:space="preserve">proportion</x:t>
        </x:is>
      </x:c>
      <x:c r="M30" t="inlineStr">
        <x:is>
          <x:t xml:space="preserve">secondary_fit</x:t>
        </x:is>
      </x:c>
      <x:c r="N30" t="inlineStr">
        <x:is>
          <x:t xml:space="preserve">direct_observed</x:t>
        </x:is>
      </x:c>
      <x:c r="O30" t="inlineStr">
        <x:is>
          <x:t xml:space="preserve">YES</x:t>
        </x:is>
      </x:c>
      <x:c r="P30" s="9" t="n">
        <x:v>0.75</x:v>
      </x:c>
      <x:c r="Q30" t="inlineStr">
        <x:is>
          <x:t xml:space="preserve">down</x:t>
        </x:is>
      </x:c>
      <x:c r="R30" s="9" t="n">
        <x:v>0</x:v>
      </x:c>
      <x:c r="S30" s="9" t="n">
        <x:v>1</x:v>
      </x:c>
      <x:c r="T30" t="inlineStr">
        <x:is>
          <x:t xml:space="preserve">Ajelli et al. 2015</x:t>
        </x:is>
      </x:c>
      <x:c r="U30" t="inlineStr">
        <x:is>
          <x:t xml:space="preserve">peer-reviewed district outbreak investigation</x:t>
        </x:is>
      </x:c>
      <x:c r="V30" t="inlineStr">
        <x:is>
          <x:t xml:space="preserve">https://pmc.ncbi.nlm.nih.gov/articles/PMC4660799/</x:t>
        </x:is>
      </x:c>
      <x:c r="X30" t="inlineStr">
        <x:is>
          <x:t xml:space="preserve">Ajelli et al. reported 5 of 42 fatal cases (11.9%) were buried in the community.</x:t>
        </x:is>
      </x:c>
      <x:c r="Y30" t="inlineStr">
        <x:is>
          <x:t xml:space="preserve">Direct community-burial proportion; included with caution because Pujehun was comparatively well controlled.</x:t>
        </x:is>
      </x:c>
    </x:row>
    <x:row r="31">
      <x:c r="A31" t="inlineStr">
        <x:is>
          <x:t xml:space="preserve">WA_UFC_02</x:t>
        </x:is>
      </x:c>
      <x:c r="B31" t="inlineStr">
        <x:is>
          <x:t xml:space="preserve">p_unsafe_funeral_comm</x:t>
        </x:is>
      </x:c>
      <x:c r="C31" s="4" t="n">
        <x:v>222</x:v>
      </x:c>
      <x:c r="D31" s="5" t="n">
        <x:v>41943</x:v>
      </x:c>
      <x:c r="E31" t="inlineStr">
        <x:is>
          <x:t xml:space="preserve">West Africa 2014-2015</x:t>
        </x:is>
      </x:c>
      <x:c r="F31" t="inlineStr">
        <x:is>
          <x:t xml:space="preserve">Sierra Leone</x:t>
        </x:is>
      </x:c>
      <x:c r="G31" t="inlineStr">
        <x:is>
          <x:t xml:space="preserve">manual</x:t>
        </x:is>
      </x:c>
      <x:c r="H31" s="6" t="n">
        <x:v>0.55</x:v>
      </x:c>
      <x:c r="I31" s="7" t="n"/>
      <x:c r="J31" s="7" t="n"/>
      <x:c r="K31" s="8">
        <x:f>IF(G31="manual",H31,IF(G31="ratio",IFERROR(I31/J31,""),IF(G31="one_minus_ratio",IFERROR(1-(I31/J31),""),"")))</x:f>
        <x:v>0.55</x:v>
      </x:c>
      <x:c r="L31" t="inlineStr">
        <x:is>
          <x:t xml:space="preserve">proportion</x:t>
        </x:is>
      </x:c>
      <x:c r="M31" t="inlineStr">
        <x:is>
          <x:t xml:space="preserve">support_only</x:t>
        </x:is>
      </x:c>
      <x:c r="N31" t="inlineStr">
        <x:is>
          <x:t xml:space="preserve">qualitative_operational_context</x:t>
        </x:is>
      </x:c>
      <x:c r="O31" t="inlineStr">
        <x:is>
          <x:t xml:space="preserve">NO</x:t>
        </x:is>
      </x:c>
      <x:c r="P31" s="9" t="n">
        <x:v>0</x:v>
      </x:c>
      <x:c r="Q31" t="inlineStr">
        <x:is>
          <x:t xml:space="preserve">down</x:t>
        </x:is>
      </x:c>
      <x:c r="R31" s="9" t="n">
        <x:v>0</x:v>
      </x:c>
      <x:c r="S31" s="9" t="n">
        <x:v>1</x:v>
      </x:c>
      <x:c r="T31" t="inlineStr">
        <x:is>
          <x:t xml:space="preserve">Nielsen et al. 2015</x:t>
        </x:is>
      </x:c>
      <x:c r="U31" t="inlineStr">
        <x:is>
          <x:t xml:space="preserve">CDC MMWR burial-system assessment</x:t>
        </x:is>
      </x:c>
      <x:c r="V31" t="inlineStr">
        <x:is>
          <x:t xml:space="preserve">https://pmc.ncbi.nlm.nih.gov/articles/PMC4584795/</x:t>
        </x:is>
      </x:c>
      <x:c r="X31" t="inlineStr">
        <x:is>
          <x:t xml:space="preserve">September-October 2014 assessments described insufficient burial teams, poor coordination, delayed corpse transport, and resistance to safe burial.</x:t>
        </x:is>
      </x:c>
      <x:c r="Y31" t="inlineStr">
        <x:is>
          <x:t xml:space="preserve">Context-only row; no direct probability was published, but the source is retained on-sheet because it is materially relevant.</x:t>
        </x:is>
      </x:c>
    </x:row>
    <x:row r="32">
      <x:c r="A32" t="inlineStr">
        <x:is>
          <x:t xml:space="preserve">WA_UFC_03</x:t>
        </x:is>
      </x:c>
      <x:c r="B32" t="inlineStr">
        <x:is>
          <x:t xml:space="preserve">p_unsafe_funeral_comm</x:t>
        </x:is>
      </x:c>
      <x:c r="C32" s="4" t="n">
        <x:v>255</x:v>
      </x:c>
      <x:c r="D32" s="5" t="n">
        <x:v>41976</x:v>
      </x:c>
      <x:c r="E32" t="inlineStr">
        <x:is>
          <x:t xml:space="preserve">West Africa 2014-2015</x:t>
        </x:is>
      </x:c>
      <x:c r="F32" t="inlineStr">
        <x:is>
          <x:t xml:space="preserve">Regional</x:t>
        </x:is>
      </x:c>
      <x:c r="G32" t="inlineStr">
        <x:is>
          <x:t xml:space="preserve">one_minus_ratio</x:t>
        </x:is>
      </x:c>
      <x:c r="H32" s="7" t="n"/>
      <x:c r="I32" s="6" t="n">
        <x:v>0.7</x:v>
      </x:c>
      <x:c r="J32" s="6" t="n">
        <x:v>1</x:v>
      </x:c>
      <x:c r="K32" s="8">
        <x:f>IF(G32="manual",H32,IF(G32="ratio",IFERROR(I32/J32,""),IF(G32="one_minus_ratio",IFERROR(1-(I32/J32),""),"")))</x:f>
        <x:v>0.30000000000000004</x:v>
      </x:c>
      <x:c r="L32" t="inlineStr">
        <x:is>
          <x:t xml:space="preserve">proportion</x:t>
        </x:is>
      </x:c>
      <x:c r="M32" t="inlineStr">
        <x:is>
          <x:t xml:space="preserve">main_fit</x:t>
        </x:is>
      </x:c>
      <x:c r="N32" t="inlineStr">
        <x:is>
          <x:t xml:space="preserve">derived_direct</x:t>
        </x:is>
      </x:c>
      <x:c r="O32" t="inlineStr">
        <x:is>
          <x:t xml:space="preserve">YES</x:t>
        </x:is>
      </x:c>
      <x:c r="P32" s="9" t="n">
        <x:v>1</x:v>
      </x:c>
      <x:c r="Q32" t="inlineStr">
        <x:is>
          <x:t xml:space="preserve">down</x:t>
        </x:is>
      </x:c>
      <x:c r="R32" s="9" t="n">
        <x:v>0</x:v>
      </x:c>
      <x:c r="S32" s="9" t="n">
        <x:v>1</x:v>
      </x:c>
      <x:c r="T32" t="inlineStr">
        <x:is>
          <x:t xml:space="preserve">WHO Roadmap Situation Report 3 Dec 2014</x:t>
        </x:is>
      </x:c>
      <x:c r="U32" t="inlineStr">
        <x:is>
          <x:t xml:space="preserve">WHO situation report</x:t>
        </x:is>
      </x:c>
      <x:c r="V32" t="inlineStr">
        <x:is>
          <x:t xml:space="preserve">https://reliefweb.int/report/sierra-leone/ebola-response-roadmap-situation-report-update-3-december-2014</x:t>
        </x:is>
      </x:c>
      <x:c r="X32" t="inlineStr">
        <x:is>
          <x:t xml:space="preserve">WHO stated the 70% safe-burial target had likely been met in most districts.</x:t>
        </x:is>
      </x:c>
      <x:c r="Y32" t="inlineStr">
        <x:is>
          <x:t xml:space="preserve">Unsafe funeral proxy derived as 1 - 0.70 = 0.30.</x:t>
        </x:is>
      </x:c>
    </x:row>
    <x:row r="33">
      <x:c r="A33" t="inlineStr">
        <x:is>
          <x:t xml:space="preserve">WA_UFC_04</x:t>
        </x:is>
      </x:c>
      <x:c r="B33" t="inlineStr">
        <x:is>
          <x:t xml:space="preserve">p_unsafe_funeral_comm</x:t>
        </x:is>
      </x:c>
      <x:c r="C33" s="4" t="n">
        <x:v>262</x:v>
      </x:c>
      <x:c r="D33" s="5" t="n">
        <x:v>41983</x:v>
      </x:c>
      <x:c r="E33" t="inlineStr">
        <x:is>
          <x:t xml:space="preserve">West Africa 2014-2015</x:t>
        </x:is>
      </x:c>
      <x:c r="F33" t="inlineStr">
        <x:is>
          <x:t xml:space="preserve">Liberia</x:t>
        </x:is>
      </x:c>
      <x:c r="G33" t="inlineStr">
        <x:is>
          <x:t xml:space="preserve">one_minus_ratio</x:t>
        </x:is>
      </x:c>
      <x:c r="H33" s="7" t="n"/>
      <x:c r="I33" s="6" t="n">
        <x:v>0.77</x:v>
      </x:c>
      <x:c r="J33" s="6" t="n">
        <x:v>1</x:v>
      </x:c>
      <x:c r="K33" s="8">
        <x:f>IF(G33="manual",H33,IF(G33="ratio",IFERROR(I33/J33,""),IF(G33="one_minus_ratio",IFERROR(1-(I33/J33),""),"")))</x:f>
        <x:v>0.22999999999999998</x:v>
      </x:c>
      <x:c r="L33" t="inlineStr">
        <x:is>
          <x:t xml:space="preserve">proportion</x:t>
        </x:is>
      </x:c>
      <x:c r="M33" t="inlineStr">
        <x:is>
          <x:t xml:space="preserve">secondary_fit</x:t>
        </x:is>
      </x:c>
      <x:c r="N33" t="inlineStr">
        <x:is>
          <x:t xml:space="preserve">derived_direct</x:t>
        </x:is>
      </x:c>
      <x:c r="O33" t="inlineStr">
        <x:is>
          <x:t xml:space="preserve">YES</x:t>
        </x:is>
      </x:c>
      <x:c r="P33" s="9" t="n">
        <x:v>0.75</x:v>
      </x:c>
      <x:c r="Q33" t="inlineStr">
        <x:is>
          <x:t xml:space="preserve">down</x:t>
        </x:is>
      </x:c>
      <x:c r="R33" s="9" t="n">
        <x:v>0</x:v>
      </x:c>
      <x:c r="S33" s="9" t="n">
        <x:v>1</x:v>
      </x:c>
      <x:c r="T33" t="inlineStr">
        <x:is>
          <x:t xml:space="preserve">WHO Roadmap Situation Report 10 Dec 2014</x:t>
        </x:is>
      </x:c>
      <x:c r="U33" t="inlineStr">
        <x:is>
          <x:t xml:space="preserve">WHO situation report</x:t>
        </x:is>
      </x:c>
      <x:c r="V33" t="inlineStr">
        <x:is>
          <x:t xml:space="preserve">https://iris.who.int/bitstream/handle/10665/145198/roadmapsitrep_10Dec2014_eng.pdf?sequence=1</x:t>
        </x:is>
      </x:c>
      <x:c r="X33" t="inlineStr">
        <x:is>
          <x:t xml:space="preserve">WHO reported Liberia had 77% of planned trained safe burial teams in place.</x:t>
        </x:is>
      </x:c>
      <x:c r="Y33" t="inlineStr">
        <x:is>
          <x:t xml:space="preserve">Proxy unsafe funeral risk derived as 1 - 0.77 = 0.23.</x:t>
        </x:is>
      </x:c>
    </x:row>
    <x:row r="34">
      <x:c r="A34" t="inlineStr">
        <x:is>
          <x:t xml:space="preserve">WA_UFC_05</x:t>
        </x:is>
      </x:c>
      <x:c r="B34" t="inlineStr">
        <x:is>
          <x:t xml:space="preserve">p_unsafe_funeral_comm</x:t>
        </x:is>
      </x:c>
      <x:c r="C34" s="4" t="n">
        <x:v>301</x:v>
      </x:c>
      <x:c r="D34" s="5" t="n">
        <x:v>42022</x:v>
      </x:c>
      <x:c r="E34" t="inlineStr">
        <x:is>
          <x:t xml:space="preserve">West Africa 2014-2015</x:t>
        </x:is>
      </x:c>
      <x:c r="F34" t="inlineStr">
        <x:is>
          <x:t xml:space="preserve">Regional</x:t>
        </x:is>
      </x:c>
      <x:c r="G34" t="inlineStr">
        <x:is>
          <x:t xml:space="preserve">one_minus_ratio</x:t>
        </x:is>
      </x:c>
      <x:c r="H34" s="7" t="n"/>
      <x:c r="I34" s="6" t="n">
        <x:v>1</x:v>
      </x:c>
      <x:c r="J34" s="6" t="n">
        <x:v>1</x:v>
      </x:c>
      <x:c r="K34" s="8">
        <x:f>IF(G34="manual",H34,IF(G34="ratio",IFERROR(I34/J34,""),IF(G34="one_minus_ratio",IFERROR(1-(I34/J34),""),"")))</x:f>
        <x:v>0</x:v>
      </x:c>
      <x:c r="L34" t="inlineStr">
        <x:is>
          <x:t xml:space="preserve">proportion</x:t>
        </x:is>
      </x:c>
      <x:c r="M34" t="inlineStr">
        <x:is>
          <x:t xml:space="preserve">shape_prior</x:t>
        </x:is>
      </x:c>
      <x:c r="N34" t="inlineStr">
        <x:is>
          <x:t xml:space="preserve">official_capacity_statement</x:t>
        </x:is>
      </x:c>
      <x:c r="O34" t="inlineStr">
        <x:is>
          <x:t xml:space="preserve">YES</x:t>
        </x:is>
      </x:c>
      <x:c r="P34" s="9" t="n">
        <x:v>0.5</x:v>
      </x:c>
      <x:c r="Q34" t="inlineStr">
        <x:is>
          <x:t xml:space="preserve">down</x:t>
        </x:is>
      </x:c>
      <x:c r="R34" s="9" t="n">
        <x:v>0</x:v>
      </x:c>
      <x:c r="S34" s="9" t="n">
        <x:v>1</x:v>
      </x:c>
      <x:c r="T34" t="inlineStr">
        <x:is>
          <x:t xml:space="preserve">WHO Ebola Situation Report 21 Jan 2015</x:t>
        </x:is>
      </x:c>
      <x:c r="U34" t="inlineStr">
        <x:is>
          <x:t xml:space="preserve">WHO situation report</x:t>
        </x:is>
      </x:c>
      <x:c r="V34" t="inlineStr">
        <x:is>
          <x:t xml:space="preserve">https://iris.who.int/bitstream/handle/10665/149314/roadmapsitrep_21Jan2015_eng.pdf</x:t>
        </x:is>
      </x:c>
      <x:c r="X34" t="inlineStr">
        <x:is>
          <x:t xml:space="preserve">WHO stated each country had sufficient capacity to bury all people known to have died from EVD safely and with dignity.</x:t>
        </x:is>
      </x:c>
      <x:c r="Y34" t="inlineStr">
        <x:is>
          <x:t xml:space="preserve">Unsafe funeral proxy derived as 1 - 1.00 = 0.00; used as a late lower-bound shape prior.</x:t>
        </x:is>
      </x:c>
    </x:row>
    <x:row r="35">
      <x:c r="A35" t="inlineStr">
        <x:is>
          <x:t xml:space="preserve">WA_UFC_06</x:t>
        </x:is>
      </x:c>
      <x:c r="B35" t="inlineStr">
        <x:is>
          <x:t xml:space="preserve">p_unsafe_funeral_comm</x:t>
        </x:is>
      </x:c>
      <x:c r="C35" s="4" t="n">
        <x:v>301</x:v>
      </x:c>
      <x:c r="D35" s="5" t="n">
        <x:v>42022</x:v>
      </x:c>
      <x:c r="E35" t="inlineStr">
        <x:is>
          <x:t xml:space="preserve">West Africa 2014-2015</x:t>
        </x:is>
      </x:c>
      <x:c r="F35" t="inlineStr">
        <x:is>
          <x:t xml:space="preserve">Regional</x:t>
        </x:is>
      </x:c>
      <x:c r="G35" t="inlineStr">
        <x:is>
          <x:t xml:space="preserve">manual</x:t>
        </x:is>
      </x:c>
      <x:c r="H35" s="6" t="n">
        <x:v>2.58</x:v>
      </x:c>
      <x:c r="I35" s="7" t="n"/>
      <x:c r="J35" s="7" t="n"/>
      <x:c r="K35" s="8">
        <x:f>IF(G35="manual",H35,IF(G35="ratio",IFERROR(I35/J35,""),IF(G35="one_minus_ratio",IFERROR(1-(I35/J35),""),"")))</x:f>
        <x:v>2.58</x:v>
      </x:c>
      <x:c r="L35" t="inlineStr">
        <x:is>
          <x:t xml:space="preserve">secondary cases per unsafe burial</x:t>
        </x:is>
      </x:c>
      <x:c r="M35" t="inlineStr">
        <x:is>
          <x:t xml:space="preserve">support_only</x:t>
        </x:is>
      </x:c>
      <x:c r="N35" t="inlineStr">
        <x:is>
          <x:t xml:space="preserve">mechanistic_consequence</x:t>
        </x:is>
      </x:c>
      <x:c r="O35" t="inlineStr">
        <x:is>
          <x:t xml:space="preserve">NO</x:t>
        </x:is>
      </x:c>
      <x:c r="P35" s="9" t="n">
        <x:v>0</x:v>
      </x:c>
      <x:c r="Q35" t="inlineStr">
        <x:is>
          <x:t xml:space="preserve">down</x:t>
        </x:is>
      </x:c>
      <x:c r="R35" s="9" t="n">
        <x:v>0</x:v>
      </x:c>
      <x:c r="S35" s="9" t="n">
        <x:v>1</x:v>
      </x:c>
      <x:c r="T35" t="inlineStr">
        <x:is>
          <x:t xml:space="preserve">Tiffany et al. 2017</x:t>
        </x:is>
      </x:c>
      <x:c r="U35" t="inlineStr">
        <x:is>
          <x:t xml:space="preserve">peer-reviewed unsafe burial investigation</x:t>
        </x:is>
      </x:c>
      <x:c r="V35" t="inlineStr">
        <x:is>
          <x:t xml:space="preserve">https://pmc.ncbi.nlm.nih.gov/articles/PMC5480832/</x:t>
        </x:is>
      </x:c>
      <x:c r="X35" t="inlineStr">
        <x:is>
          <x:t xml:space="preserve">Unsafe community burials generated an average of 2.58 secondary cases.</x:t>
        </x:is>
      </x:c>
      <x:c r="Y35" t="inlineStr">
        <x:is>
          <x:t xml:space="preserve">Mechanistic consequence retained on-sheet because it is materially relevant to the importance of the funeral parameter, but it is not on the same probability scale and is not used in the pooled fit.</x:t>
        </x:is>
      </x:c>
    </x:row>
    <x:row r="36">
      <x:c r="A36" t="inlineStr">
        <x:is>
          <x:t xml:space="preserve">WA_UFH_01</x:t>
        </x:is>
      </x:c>
      <x:c r="B36" t="inlineStr">
        <x:is>
          <x:t xml:space="preserve">p_unsafe_funeral_hosp</x:t>
        </x:is>
      </x:c>
      <x:c r="C36" s="4" t="n">
        <x:v>176</x:v>
      </x:c>
      <x:c r="D36" s="5" t="n">
        <x:v>41897</x:v>
      </x:c>
      <x:c r="E36" t="inlineStr">
        <x:is>
          <x:t xml:space="preserve">West Africa 2014-2015</x:t>
        </x:is>
      </x:c>
      <x:c r="F36" t="inlineStr">
        <x:is>
          <x:t xml:space="preserve">Pujehun, Sierra Leone</x:t>
        </x:is>
      </x:c>
      <x:c r="G36" t="inlineStr">
        <x:is>
          <x:t xml:space="preserve">manual</x:t>
        </x:is>
      </x:c>
      <x:c r="H36" s="6" t="n">
        <x:v>0.02</x:v>
      </x:c>
      <x:c r="I36" s="7" t="n"/>
      <x:c r="J36" s="7" t="n"/>
      <x:c r="K36" s="8">
        <x:f>IF(G36="manual",H36,IF(G36="ratio",IFERROR(I36/J36,""),IF(G36="one_minus_ratio",IFERROR(1-(I36/J36),""),"")))</x:f>
        <x:v>0.02</x:v>
      </x:c>
      <x:c r="L36" t="inlineStr">
        <x:is>
          <x:t xml:space="preserve">proportion</x:t>
        </x:is>
      </x:c>
      <x:c r="M36" t="inlineStr">
        <x:is>
          <x:t xml:space="preserve">structural</x:t>
        </x:is>
      </x:c>
      <x:c r="N36" t="inlineStr">
        <x:is>
          <x:t xml:space="preserve">structural_assumption</x:t>
        </x:is>
      </x:c>
      <x:c r="O36" t="inlineStr">
        <x:is>
          <x:t xml:space="preserve">YES</x:t>
        </x:is>
      </x:c>
      <x:c r="P36" s="9" t="n">
        <x:v>0.35</x:v>
      </x:c>
      <x:c r="Q36" t="inlineStr">
        <x:is>
          <x:t xml:space="preserve">down</x:t>
        </x:is>
      </x:c>
      <x:c r="R36" s="9" t="n">
        <x:v>0</x:v>
      </x:c>
      <x:c r="S36" s="9" t="n">
        <x:v>0.03</x:v>
      </x:c>
      <x:c r="T36" t="inlineStr">
        <x:is>
          <x:t xml:space="preserve">Ajelli et al. 2015 + Rivers et al. 2014</x:t>
        </x:is>
      </x:c>
      <x:c r="U36" t="inlineStr">
        <x:is>
          <x:t xml:space="preserve">peer-reviewed district study + model paper</x:t>
        </x:is>
      </x:c>
      <x:c r="V36" t="inlineStr">
        <x:is>
          <x:t xml:space="preserve">https://pmc.ncbi.nlm.nih.gov/articles/PMC4660799/</x:t>
        </x:is>
      </x:c>
      <x:c r="W36" t="inlineStr">
        <x:is>
          <x:t xml:space="preserve">https://pmc.ncbi.nlm.nih.gov/articles/PMC4399521/</x:t>
        </x:is>
      </x:c>
      <x:c r="X36" t="inlineStr">
        <x:is>
          <x:t xml:space="preserve">Ajelli state deceased hospitalized case-patients were safely buried in Pujehun; intervention models likewise treat post-mortem infection after hospitalization as near-zero under control scenarios.</x:t>
        </x:is>
      </x:c>
      <x:c r="Y36" t="inlineStr">
        <x:is>
          <x:t xml:space="preserve">Small but non-zero early structural value used to keep the pooled curve numerically stable.</x:t>
        </x:is>
      </x:c>
    </x:row>
    <x:row r="37">
      <x:c r="A37" t="inlineStr">
        <x:is>
          <x:t xml:space="preserve">WA_UFH_02</x:t>
        </x:is>
      </x:c>
      <x:c r="B37" t="inlineStr">
        <x:is>
          <x:t xml:space="preserve">p_unsafe_funeral_hosp</x:t>
        </x:is>
      </x:c>
      <x:c r="C37" s="4" t="n">
        <x:v>245</x:v>
      </x:c>
      <x:c r="D37" s="5" t="n">
        <x:v>41966</x:v>
      </x:c>
      <x:c r="E37" t="inlineStr">
        <x:is>
          <x:t xml:space="preserve">West Africa 2014-2015</x:t>
        </x:is>
      </x:c>
      <x:c r="F37" t="inlineStr">
        <x:is>
          <x:t xml:space="preserve">Liberia</x:t>
        </x:is>
      </x:c>
      <x:c r="G37" t="inlineStr">
        <x:is>
          <x:t xml:space="preserve">manual</x:t>
        </x:is>
      </x:c>
      <x:c r="H37" s="6" t="n">
        <x:v>0</x:v>
      </x:c>
      <x:c r="I37" s="7" t="n"/>
      <x:c r="J37" s="7" t="n"/>
      <x:c r="K37" s="8">
        <x:f>IF(G37="manual",H37,IF(G37="ratio",IFERROR(I37/J37,""),IF(G37="one_minus_ratio",IFERROR(1-(I37/J37),""),"")))</x:f>
        <x:v>0</x:v>
      </x:c>
      <x:c r="L37" t="inlineStr">
        <x:is>
          <x:t xml:space="preserve">proportion</x:t>
        </x:is>
      </x:c>
      <x:c r="M37" t="inlineStr">
        <x:is>
          <x:t xml:space="preserve">structural</x:t>
        </x:is>
      </x:c>
      <x:c r="N37" t="inlineStr">
        <x:is>
          <x:t xml:space="preserve">structural_assumption</x:t>
        </x:is>
      </x:c>
      <x:c r="O37" t="inlineStr">
        <x:is>
          <x:t xml:space="preserve">YES</x:t>
        </x:is>
      </x:c>
      <x:c r="P37" s="9" t="n">
        <x:v>0.35</x:v>
      </x:c>
      <x:c r="Q37" t="inlineStr">
        <x:is>
          <x:t xml:space="preserve">down</x:t>
        </x:is>
      </x:c>
      <x:c r="R37" s="9" t="n">
        <x:v>0</x:v>
      </x:c>
      <x:c r="S37" s="9" t="n">
        <x:v>0.03</x:v>
      </x:c>
      <x:c r="T37" t="inlineStr">
        <x:is>
          <x:t xml:space="preserve">Drake et al. 2015</x:t>
        </x:is>
      </x:c>
      <x:c r="U37" t="inlineStr">
        <x:is>
          <x:t xml:space="preserve">peer-reviewed demand model</x:t>
        </x:is>
      </x:c>
      <x:c r="V37" t="inlineStr">
        <x:is>
          <x:t xml:space="preserve">https://pmc.ncbi.nlm.nih.gov/articles/PMC4293091/</x:t>
        </x:is>
      </x:c>
      <x:c r="X37" t="inlineStr">
        <x:is>
          <x:t xml:space="preserve">Drake et al. secure-burial scenario effectively eliminates unsafe burial after formal care.</x:t>
        </x:is>
      </x:c>
      <x:c r="Y37" t="inlineStr">
        <x:is>
          <x:t xml:space="preserve">Late structural lower bound.</x:t>
        </x:is>
      </x:c>
    </x:row>
  </x:sheetData>
  <x:mergeCells>
    <x:mergeCell ref="A2:Y2"/>
    <x:mergeCell ref="A1:Y1"/>
  </x:mergeCells>
  <x:pageMargins left="0.7" right="0.7" top="0.75" bottom="0.75" header="0.3" footer="0.3"/>
  <x:tableParts count="1">
    <x:tablePart xmlns:r="http://schemas.openxmlformats.org/officeDocument/2006/relationships" r:id="Rab023decf30844d4"/>
  </x:tableParts>
</x:worksheet>
</file>

<file path=xl/worksheets/sheet2.xml><?xml version="1.0" encoding="utf-8"?>
<x:worksheet xmlns:x="http://schemas.openxmlformats.org/spreadsheetml/2006/main">
  <x:sheetFormatPr baseColWidth="8" defaultRowHeight="15"/>
  <x:cols>
    <x:col min="1" max="1" width="14" customWidth="1"/>
    <x:col min="2" max="2" width="24" customWidth="1"/>
    <x:col min="3" max="3" width="12" customWidth="1"/>
    <x:col min="4" max="4" width="12" customWidth="1"/>
    <x:col min="5" max="5" width="22" customWidth="1"/>
    <x:col min="6" max="6" width="18" customWidth="1"/>
    <x:col min="7" max="7" width="16" customWidth="1"/>
    <x:col min="8" max="8" width="10" customWidth="1"/>
    <x:col min="9" max="9" width="10" customWidth="1"/>
    <x:col min="10" max="10" width="11" customWidth="1"/>
    <x:col min="11" max="11" width="10" customWidth="1"/>
    <x:col min="12" max="12" width="12" customWidth="1"/>
    <x:col min="13" max="13" width="12" customWidth="1"/>
    <x:col min="14" max="14" width="12" customWidth="1"/>
    <x:col min="15" max="15" width="12" customWidth="1"/>
    <x:col min="16" max="16" width="8" customWidth="1"/>
    <x:col min="17" max="17" width="10" customWidth="1"/>
    <x:col min="18" max="18" width="11" customWidth="1"/>
    <x:col min="19" max="19" width="11" customWidth="1"/>
    <x:col min="20" max="20" width="28" customWidth="1"/>
    <x:col min="21" max="21" width="14" customWidth="1"/>
    <x:col min="22" max="22" width="36" customWidth="1"/>
    <x:col min="23" max="23" width="30" customWidth="1"/>
    <x:col min="24" max="24" width="50" customWidth="1"/>
    <x:col min="25" max="25" width="45" customWidth="1"/>
  </x:cols>
  <x:sheetData>
    <x:row r="1" ht="22" customHeight="1">
      <x:c r="A1" s="10" t="inlineStr">
        <x:is>
          <x:t xml:space="preserve">Middle DRC 2018 2019 literature anchors</x:t>
        </x:is>
      </x:c>
    </x:row>
    <x:row r="2" ht="50" customHeight="1">
      <x:c r="A2" s="2" t="inlineStr">
        <x:is>
          <x:t xml:space="preserve">Systematic scenario-audit sheet for pooled filovirus NPI curves. Relative day is days since outbreak declaration/start for that scenario; Best_Composite uses outbreak-specific day 0 for each contributing outbreak; DRC analogue rows use response-day alignment rather than calendar distance. Rows marked include_in_fit=YES inform the pooled-Q fit; support_only rows are retained because they are materially relevant literature but were not used directly in the smooth fit. value_used is formula-driven from manual_value / numerator / denominator.</x:t>
        </x:is>
      </x:c>
    </x:row>
    <x:row r="3">
      <x:c r="A3" s="11" t="inlineStr">
        <x:is>
          <x:t xml:space="preserve">anchor_id</x:t>
        </x:is>
      </x:c>
      <x:c r="B3" s="11" t="inlineStr">
        <x:is>
          <x:t xml:space="preserve">parameter</x:t>
        </x:is>
      </x:c>
      <x:c r="C3" s="11" t="inlineStr">
        <x:is>
          <x:t xml:space="preserve">relative_day</x:t>
        </x:is>
      </x:c>
      <x:c r="D3" s="11" t="inlineStr">
        <x:is>
          <x:t xml:space="preserve">source_date</x:t>
        </x:is>
      </x:c>
      <x:c r="E3" s="11" t="inlineStr">
        <x:is>
          <x:t xml:space="preserve">outbreak_source</x:t>
        </x:is>
      </x:c>
      <x:c r="F3" s="11" t="inlineStr">
        <x:is>
          <x:t xml:space="preserve">location</x:t>
        </x:is>
      </x:c>
      <x:c r="G3" s="11" t="inlineStr">
        <x:is>
          <x:t xml:space="preserve">derivation_type</x:t>
        </x:is>
      </x:c>
      <x:c r="H3" s="11" t="inlineStr">
        <x:is>
          <x:t xml:space="preserve">manual_value</x:t>
        </x:is>
      </x:c>
      <x:c r="I3" s="11" t="inlineStr">
        <x:is>
          <x:t xml:space="preserve">numerator</x:t>
        </x:is>
      </x:c>
      <x:c r="J3" s="11" t="inlineStr">
        <x:is>
          <x:t xml:space="preserve">denominator</x:t>
        </x:is>
      </x:c>
      <x:c r="K3" s="11" t="inlineStr">
        <x:is>
          <x:t xml:space="preserve">value_used</x:t>
        </x:is>
      </x:c>
      <x:c r="L3" s="11" t="inlineStr">
        <x:is>
          <x:t xml:space="preserve">units</x:t>
        </x:is>
      </x:c>
      <x:c r="M3" s="11" t="inlineStr">
        <x:is>
          <x:t xml:space="preserve">fit_role</x:t>
        </x:is>
      </x:c>
      <x:c r="N3" s="11" t="inlineStr">
        <x:is>
          <x:t xml:space="preserve">evidence_tier</x:t>
        </x:is>
      </x:c>
      <x:c r="O3" s="11" t="inlineStr">
        <x:is>
          <x:t xml:space="preserve">include_in_fit</x:t>
        </x:is>
      </x:c>
      <x:c r="P3" s="11" t="inlineStr">
        <x:is>
          <x:t xml:space="preserve">weight</x:t>
        </x:is>
      </x:c>
      <x:c r="Q3" s="11" t="inlineStr">
        <x:is>
          <x:t xml:space="preserve">direction</x:t>
        </x:is>
      </x:c>
      <x:c r="R3" s="11" t="inlineStr">
        <x:is>
          <x:t xml:space="preserve">lower_bound</x:t>
        </x:is>
      </x:c>
      <x:c r="S3" s="11" t="inlineStr">
        <x:is>
          <x:t xml:space="preserve">upper_bound</x:t>
        </x:is>
      </x:c>
      <x:c r="T3" s="11" t="inlineStr">
        <x:is>
          <x:t xml:space="preserve">source_short</x:t>
        </x:is>
      </x:c>
      <x:c r="U3" s="11" t="inlineStr">
        <x:is>
          <x:t xml:space="preserve">source_type</x:t>
        </x:is>
      </x:c>
      <x:c r="V3" s="11" t="inlineStr">
        <x:is>
          <x:t xml:space="preserve">source_url</x:t>
        </x:is>
      </x:c>
      <x:c r="W3" s="11" t="inlineStr">
        <x:is>
          <x:t xml:space="preserve">supporting_url</x:t>
        </x:is>
      </x:c>
      <x:c r="X3" s="11" t="inlineStr">
        <x:is>
          <x:t xml:space="preserve">source_note</x:t>
        </x:is>
      </x:c>
      <x:c r="Y3" s="11" t="inlineStr">
        <x:is>
          <x:t xml:space="preserve">derivation_note</x:t>
        </x:is>
      </x:c>
    </x:row>
    <x:row r="4">
      <x:c r="A4" t="inlineStr">
        <x:is>
          <x:t xml:space="preserve">DRC_DH_00</x:t>
        </x:is>
      </x:c>
      <x:c r="B4" t="inlineStr">
        <x:is>
          <x:t xml:space="preserve">delay_hosp</x:t>
        </x:is>
      </x:c>
      <x:c r="C4" s="4" t="n">
        <x:v>0</x:v>
      </x:c>
      <x:c r="D4" s="5" t="n">
        <x:v>43313</x:v>
      </x:c>
      <x:c r="E4" t="inlineStr">
        <x:is>
          <x:t xml:space="preserve">DRC 2018-2019</x:t>
        </x:is>
      </x:c>
      <x:c r="F4" t="inlineStr">
        <x:is>
          <x:t xml:space="preserve">North Kivu / Ituri</x:t>
        </x:is>
      </x:c>
      <x:c r="G4" t="inlineStr">
        <x:is>
          <x:t xml:space="preserve">manual</x:t>
        </x:is>
      </x:c>
      <x:c r="H4" s="6" t="n">
        <x:v>4.8</x:v>
      </x:c>
      <x:c r="I4" s="7" t="n"/>
      <x:c r="J4" s="7" t="n"/>
      <x:c r="K4" s="8">
        <x:f>IF(G4="manual",H4,IF(G4="ratio",IFERROR(I4/J4,""),IF(G4="one_minus_ratio",IFERROR(1-(I4/J4),""),"")))</x:f>
        <x:v>4.8</x:v>
      </x:c>
      <x:c r="L4" t="inlineStr">
        <x:is>
          <x:t xml:space="preserve">days</x:t>
        </x:is>
      </x:c>
      <x:c r="M4" t="inlineStr">
        <x:is>
          <x:t xml:space="preserve">boundary_anchor</x:t>
        </x:is>
      </x:c>
      <x:c r="N4" t="inlineStr">
        <x:is>
          <x:t xml:space="preserve">constructed_boundary</x:t>
        </x:is>
      </x:c>
      <x:c r="O4" t="inlineStr">
        <x:is>
          <x:t xml:space="preserve">YES</x:t>
        </x:is>
      </x:c>
      <x:c r="P4" s="9" t="n">
        <x:v>0.6</x:v>
      </x:c>
      <x:c r="Q4" t="inlineStr">
        <x:is>
          <x:t xml:space="preserve">down</x:t>
        </x:is>
      </x:c>
      <x:c r="R4" s="9" t="n">
        <x:v>1.5</x:v>
      </x:c>
      <x:c r="S4" s="9" t="n">
        <x:v>6.5</x:v>
      </x:c>
      <x:c r="T4" t="inlineStr">
        <x:is>
          <x:t xml:space="preserve">WHO response plan 2018 + WHO 2019 response review</x:t>
        </x:is>
      </x:c>
      <x:c r="U4" t="inlineStr">
        <x:is>
          <x:t xml:space="preserve">WHO response plan + WHO response review</x:t>
        </x:is>
      </x:c>
      <x:c r="V4" t="inlineStr">
        <x:is>
          <x:t xml:space="preserve">https://www.who.int/docs/default-source/documents/spr-ebola-2019/srp1-drc-ebola-disease-outbreak-response-plan.pdf?sfvrsn=40799796_4</x:t>
        </x:is>
      </x:c>
      <x:c r="W4" t="inlineStr">
        <x:is>
          <x:t xml:space="preserve">https://www.who.int/docs/default-source/documents/emergencies/drc-ebola-response-srp-1-3-october2019.pdf</x:t>
        </x:is>
      </x:c>
      <x:c r="X4" t="inlineStr">
        <x:is>
          <x:t xml:space="preserve">The DRC response started with substantially more tools than West Africa, but WHO later emphasized that many patients still presented late to specialized ETCs.</x:t>
        </x:is>
      </x:c>
      <x:c r="Y4" t="inlineStr">
        <x:is>
          <x:t xml:space="preserve">Constructed early-middle-scenario boundary chosen to be better than West Africa but still reflect meaningful delay.</x:t>
        </x:is>
      </x:c>
    </x:row>
    <x:row r="5">
      <x:c r="A5" t="inlineStr">
        <x:is>
          <x:t xml:space="preserve">DRC_DH_02</x:t>
        </x:is>
      </x:c>
      <x:c r="B5" t="inlineStr">
        <x:is>
          <x:t xml:space="preserve">delay_hosp</x:t>
        </x:is>
      </x:c>
      <x:c r="C5" s="4" t="n">
        <x:v>44</x:v>
      </x:c>
      <x:c r="D5" s="5" t="n">
        <x:v>44027</x:v>
      </x:c>
      <x:c r="E5" t="inlineStr">
        <x:is>
          <x:t xml:space="preserve">DRC 2020 Equateur analogue</x:t>
        </x:is>
      </x:c>
      <x:c r="F5" t="inlineStr">
        <x:is>
          <x:t xml:space="preserve">Equateur Province</x:t>
        </x:is>
      </x:c>
      <x:c r="G5" t="inlineStr">
        <x:is>
          <x:t xml:space="preserve">manual</x:t>
        </x:is>
      </x:c>
      <x:c r="H5" s="6" t="n">
        <x:v>4</x:v>
      </x:c>
      <x:c r="I5" s="7" t="n"/>
      <x:c r="J5" s="7" t="n"/>
      <x:c r="K5" s="8">
        <x:f>IF(G5="manual",H5,IF(G5="ratio",IFERROR(I5/J5,""),IF(G5="one_minus_ratio",IFERROR(1-(I5/J5),""),"")))</x:f>
        <x:v>4</x:v>
      </x:c>
      <x:c r="L5" t="inlineStr">
        <x:is>
          <x:t xml:space="preserve">days</x:t>
        </x:is>
      </x:c>
      <x:c r="M5" t="inlineStr">
        <x:is>
          <x:t xml:space="preserve">secondary_fit</x:t>
        </x:is>
      </x:c>
      <x:c r="N5" t="inlineStr">
        <x:is>
          <x:t xml:space="preserve">direct_observed_analogue</x:t>
        </x:is>
      </x:c>
      <x:c r="O5" t="inlineStr">
        <x:is>
          <x:t xml:space="preserve">YES</x:t>
        </x:is>
      </x:c>
      <x:c r="P5" s="9" t="n">
        <x:v>0.75</x:v>
      </x:c>
      <x:c r="Q5" t="inlineStr">
        <x:is>
          <x:t xml:space="preserve">down</x:t>
        </x:is>
      </x:c>
      <x:c r="R5" s="9" t="n">
        <x:v>1.5</x:v>
      </x:c>
      <x:c r="S5" s="9" t="n">
        <x:v>6.5</x:v>
      </x:c>
      <x:c r="T5" t="inlineStr">
        <x:is>
          <x:t xml:space="preserve">Lampaert et al. 2024</x:t>
        </x:is>
      </x:c>
      <x:c r="U5" t="inlineStr">
        <x:is>
          <x:t xml:space="preserve">peer-reviewed DRC analogue study</x:t>
        </x:is>
      </x:c>
      <x:c r="V5" t="inlineStr">
        <x:is>
          <x:t xml:space="preserve">https://pmc.ncbi.nlm.nih.gov/articles/PMC11406140/</x:t>
        </x:is>
      </x:c>
      <x:c r="X5" t="inlineStr">
        <x:is>
          <x:t xml:space="preserve">Among suspected patients initially admitted to ETCs during the 2020 Equateur outbreak, median symptom-onset-to-admission was 4 days (IQR 2–7).</x:t>
        </x:is>
      </x:c>
      <x:c r="Y5" t="inlineStr">
        <x:is>
          <x:t xml:space="preserve">Same-country analogue included to avoid ignoring direct DRC facility-delay data, while keeping the main scenario centred on 2018–2019 response conditions.</x:t>
        </x:is>
      </x:c>
    </x:row>
    <x:row r="6">
      <x:c r="A6" t="inlineStr">
        <x:is>
          <x:t xml:space="preserve">DRC_DH_03</x:t>
        </x:is>
      </x:c>
      <x:c r="B6" t="inlineStr">
        <x:is>
          <x:t xml:space="preserve">delay_hosp</x:t>
        </x:is>
      </x:c>
      <x:c r="C6" s="4" t="n">
        <x:v>44</x:v>
      </x:c>
      <x:c r="D6" s="5" t="n">
        <x:v>44027</x:v>
      </x:c>
      <x:c r="E6" t="inlineStr">
        <x:is>
          <x:t xml:space="preserve">DRC 2020 Equateur analogue</x:t>
        </x:is>
      </x:c>
      <x:c r="F6" t="inlineStr">
        <x:is>
          <x:t xml:space="preserve">Equateur Province</x:t>
        </x:is>
      </x:c>
      <x:c r="G6" t="inlineStr">
        <x:is>
          <x:t xml:space="preserve">manual</x:t>
        </x:is>
      </x:c>
      <x:c r="H6" s="6" t="n">
        <x:v>2</x:v>
      </x:c>
      <x:c r="I6" s="7" t="n"/>
      <x:c r="J6" s="7" t="n"/>
      <x:c r="K6" s="8">
        <x:f>IF(G6="manual",H6,IF(G6="ratio",IFERROR(I6/J6,""),IF(G6="one_minus_ratio",IFERROR(1-(I6/J6),""),"")))</x:f>
        <x:v>2</x:v>
      </x:c>
      <x:c r="L6" t="inlineStr">
        <x:is>
          <x:t xml:space="preserve">days</x:t>
        </x:is>
      </x:c>
      <x:c r="M6" t="inlineStr">
        <x:is>
          <x:t xml:space="preserve">shape_prior</x:t>
        </x:is>
      </x:c>
      <x:c r="N6" t="inlineStr">
        <x:is>
          <x:t xml:space="preserve">direct_observed_analogue</x:t>
        </x:is>
      </x:c>
      <x:c r="O6" t="inlineStr">
        <x:is>
          <x:t xml:space="preserve">YES</x:t>
        </x:is>
      </x:c>
      <x:c r="P6" s="9" t="n">
        <x:v>0.5</x:v>
      </x:c>
      <x:c r="Q6" t="inlineStr">
        <x:is>
          <x:t xml:space="preserve">down</x:t>
        </x:is>
      </x:c>
      <x:c r="R6" s="9" t="n">
        <x:v>1.5</x:v>
      </x:c>
      <x:c r="S6" s="9" t="n">
        <x:v>6.5</x:v>
      </x:c>
      <x:c r="T6" t="inlineStr">
        <x:is>
          <x:t xml:space="preserve">Lampaert et al. 2024</x:t>
        </x:is>
      </x:c>
      <x:c r="U6" t="inlineStr">
        <x:is>
          <x:t xml:space="preserve">peer-reviewed DRC analogue study</x:t>
        </x:is>
      </x:c>
      <x:c r="V6" t="inlineStr">
        <x:is>
          <x:t xml:space="preserve">https://pmc.ncbi.nlm.nih.gov/articles/PMC11406140/</x:t>
        </x:is>
      </x:c>
      <x:c r="X6" t="inlineStr">
        <x:is>
          <x:t xml:space="preserve">Among suspected patients initially admitted to decentralised treatment centres, median symptom-onset-to-admission was 2 days (IQR 1–4).</x:t>
        </x:is>
      </x:c>
      <x:c r="Y6" t="inlineStr">
        <x:is>
          <x:t xml:space="preserve">Analogue support showing what later decentralised DRC care could achieve.</x:t>
        </x:is>
      </x:c>
    </x:row>
    <x:row r="7">
      <x:c r="A7" t="inlineStr">
        <x:is>
          <x:t xml:space="preserve">DRC_DH_01</x:t>
        </x:is>
      </x:c>
      <x:c r="B7" t="inlineStr">
        <x:is>
          <x:t xml:space="preserve">delay_hosp</x:t>
        </x:is>
      </x:c>
      <x:c r="C7" s="4" t="n">
        <x:v>212</x:v>
      </x:c>
      <x:c r="D7" s="5" t="n">
        <x:v>43525</x:v>
      </x:c>
      <x:c r="E7" t="inlineStr">
        <x:is>
          <x:t xml:space="preserve">DRC 2018-2019</x:t>
        </x:is>
      </x:c>
      <x:c r="F7" t="inlineStr">
        <x:is>
          <x:t xml:space="preserve">North Kivu / Ituri</x:t>
        </x:is>
      </x:c>
      <x:c r="G7" t="inlineStr">
        <x:is>
          <x:t xml:space="preserve">manual</x:t>
        </x:is>
      </x:c>
      <x:c r="H7" s="6" t="n">
        <x:v>4.2</x:v>
      </x:c>
      <x:c r="I7" s="7" t="n"/>
      <x:c r="J7" s="7" t="n"/>
      <x:c r="K7" s="8">
        <x:f>IF(G7="manual",H7,IF(G7="ratio",IFERROR(I7/J7,""),IF(G7="one_minus_ratio",IFERROR(1-(I7/J7),""),"")))</x:f>
        <x:v>4.2</x:v>
      </x:c>
      <x:c r="L7" t="inlineStr">
        <x:is>
          <x:t xml:space="preserve">days</x:t>
        </x:is>
      </x:c>
      <x:c r="M7" t="inlineStr">
        <x:is>
          <x:t xml:space="preserve">main_fit</x:t>
        </x:is>
      </x:c>
      <x:c r="N7" t="inlineStr">
        <x:is>
          <x:t xml:space="preserve">constructed_from_official_response_report</x:t>
        </x:is>
      </x:c>
      <x:c r="O7" t="inlineStr">
        <x:is>
          <x:t xml:space="preserve">YES</x:t>
        </x:is>
      </x:c>
      <x:c r="P7" s="9" t="n">
        <x:v>1</x:v>
      </x:c>
      <x:c r="Q7" t="inlineStr">
        <x:is>
          <x:t xml:space="preserve">down</x:t>
        </x:is>
      </x:c>
      <x:c r="R7" s="9" t="n">
        <x:v>1.5</x:v>
      </x:c>
      <x:c r="S7" s="9" t="n">
        <x:v>6.5</x:v>
      </x:c>
      <x:c r="T7" t="inlineStr">
        <x:is>
          <x:t xml:space="preserve">WHO response to the 2018–2019 outbreak in DRC</x:t>
        </x:is>
      </x:c>
      <x:c r="U7" t="inlineStr">
        <x:is>
          <x:t xml:space="preserve">WHO response review</x:t>
        </x:is>
      </x:c>
      <x:c r="V7" t="inlineStr">
        <x:is>
          <x:t xml:space="preserve">https://www.who.int/docs/default-source/documents/emergencies/drc-ebola-response-srp-1-3-october2019.pdf</x:t>
        </x:is>
      </x:c>
      <x:c r="X7" t="inlineStr">
        <x:is>
          <x:t xml:space="preserve">WHO noted late-stage presentation to specialized ETCs, but also that opening transit centres closer to hotspots from early 2019 reduced time to presentation.</x:t>
        </x:is>
      </x:c>
      <x:c r="Y7" t="inlineStr">
        <x:is>
          <x:t xml:space="preserve">Constructed numeric anchor from official statement of improving time to presentation.</x:t>
        </x:is>
      </x:c>
    </x:row>
    <x:row r="8">
      <x:c r="A8" t="inlineStr">
        <x:is>
          <x:t xml:space="preserve">DRC_DH_04</x:t>
        </x:is>
      </x:c>
      <x:c r="B8" t="inlineStr">
        <x:is>
          <x:t xml:space="preserve">delay_hosp</x:t>
        </x:is>
      </x:c>
      <x:c r="C8" s="4" t="n">
        <x:v>300</x:v>
      </x:c>
      <x:c r="D8" s="5" t="n">
        <x:v>43905</x:v>
      </x:c>
      <x:c r="E8" t="inlineStr">
        <x:is>
          <x:t xml:space="preserve">DRC 2018-2020</x:t>
        </x:is>
      </x:c>
      <x:c r="F8" t="inlineStr">
        <x:is>
          <x:t xml:space="preserve">North Kivu / Ituri</x:t>
        </x:is>
      </x:c>
      <x:c r="G8" t="inlineStr">
        <x:is>
          <x:t xml:space="preserve">manual</x:t>
        </x:is>
      </x:c>
      <x:c r="H8" s="6" t="n">
        <x:v>8.199999999999999</x:v>
      </x:c>
      <x:c r="I8" s="7" t="n"/>
      <x:c r="J8" s="7" t="n"/>
      <x:c r="K8" s="8">
        <x:f>IF(G8="manual",H8,IF(G8="ratio",IFERROR(I8/J8,""),IF(G8="one_minus_ratio",IFERROR(1-(I8/J8),""),"")))</x:f>
        <x:v>8.2</x:v>
      </x:c>
      <x:c r="L8" t="inlineStr">
        <x:is>
          <x:t xml:space="preserve">days</x:t>
        </x:is>
      </x:c>
      <x:c r="M8" t="inlineStr">
        <x:is>
          <x:t xml:space="preserve">support_only</x:t>
        </x:is>
      </x:c>
      <x:c r="N8" t="inlineStr">
        <x:is>
          <x:t xml:space="preserve">direct_observed_related_metric</x:t>
        </x:is>
      </x:c>
      <x:c r="O8" t="inlineStr">
        <x:is>
          <x:t xml:space="preserve">NO</x:t>
        </x:is>
      </x:c>
      <x:c r="P8" s="9" t="n">
        <x:v>0</x:v>
      </x:c>
      <x:c r="Q8" t="inlineStr">
        <x:is>
          <x:t xml:space="preserve">down</x:t>
        </x:is>
      </x:c>
      <x:c r="R8" s="9" t="n">
        <x:v>1.5</x:v>
      </x:c>
      <x:c r="S8" s="9" t="n">
        <x:v>6.5</x:v>
      </x:c>
      <x:c r="T8" t="inlineStr">
        <x:is>
          <x:t xml:space="preserve">Baller et al. 2022</x:t>
        </x:is>
      </x:c>
      <x:c r="U8" t="inlineStr">
        <x:is>
          <x:t xml:space="preserve">peer-reviewed nosocomial case analysis</x:t>
        </x:is>
      </x:c>
      <x:c r="V8" t="inlineStr">
        <x:is>
          <x:t xml:space="preserve">https://pmc.ncbi.nlm.nih.gov/articles/PMC8755545/</x:t>
        </x:is>
      </x:c>
      <x:c r="X8" t="inlineStr">
        <x:is>
          <x:t xml:space="preserve">Among nosocomial cases, the average time between onset and reporting was 8.2 days.</x:t>
        </x:is>
      </x:c>
      <x:c r="Y8" t="inlineStr">
        <x:is>
          <x:t xml:space="preserve">Retained because it is materially relevant to delayed presentation/reporting, but it is not strictly the same as symptom-onset-to-hospitalization and is not used in the pooled fit.</x:t>
        </x:is>
      </x:c>
    </x:row>
    <x:row r="9">
      <x:c r="A9" t="inlineStr">
        <x:is>
          <x:t xml:space="preserve">DRC_PH_01</x:t>
        </x:is>
      </x:c>
      <x:c r="B9" t="inlineStr">
        <x:is>
          <x:t xml:space="preserve">p_hosp</x:t>
        </x:is>
      </x:c>
      <x:c r="C9" s="4" t="n">
        <x:v>7</x:v>
      </x:c>
      <x:c r="D9" s="5" t="n">
        <x:v>43320</x:v>
      </x:c>
      <x:c r="E9" t="inlineStr">
        <x:is>
          <x:t xml:space="preserve">DRC 2018-2019</x:t>
        </x:is>
      </x:c>
      <x:c r="F9" t="inlineStr">
        <x:is>
          <x:t xml:space="preserve">Mangina</x:t>
        </x:is>
      </x:c>
      <x:c r="G9" t="inlineStr">
        <x:is>
          <x:t xml:space="preserve">ratio</x:t>
        </x:is>
      </x:c>
      <x:c r="H9" s="7" t="n"/>
      <x:c r="I9" s="6" t="n">
        <x:v>16</x:v>
      </x:c>
      <x:c r="J9" s="6" t="n">
        <x:v>44</x:v>
      </x:c>
      <x:c r="K9" s="8">
        <x:f>IF(G9="manual",H9,IF(G9="ratio",IFERROR(I9/J9,""),IF(G9="one_minus_ratio",IFERROR(1-(I9/J9),""),"")))</x:f>
        <x:v>0.36363636363636365</x:v>
      </x:c>
      <x:c r="L9" t="inlineStr">
        <x:is>
          <x:t xml:space="preserve">proportion</x:t>
        </x:is>
      </x:c>
      <x:c r="M9" t="inlineStr">
        <x:is>
          <x:t xml:space="preserve">main_fit</x:t>
        </x:is>
      </x:c>
      <x:c r="N9" t="inlineStr">
        <x:is>
          <x:t xml:space="preserve">derived_direct</x:t>
        </x:is>
      </x:c>
      <x:c r="O9" t="inlineStr">
        <x:is>
          <x:t xml:space="preserve">YES</x:t>
        </x:is>
      </x:c>
      <x:c r="P9" s="9" t="n">
        <x:v>1</x:v>
      </x:c>
      <x:c r="Q9" t="inlineStr">
        <x:is>
          <x:t xml:space="preserve">up</x:t>
        </x:is>
      </x:c>
      <x:c r="R9" s="9" t="n">
        <x:v>0.3</x:v>
      </x:c>
      <x:c r="S9" s="9" t="n">
        <x:v>0.95</x:v>
      </x:c>
      <x:c r="T9" t="inlineStr">
        <x:is>
          <x:t xml:space="preserve">DRC national response plan (Aug 2018)</x:t>
        </x:is>
      </x:c>
      <x:c r="U9" t="inlineStr">
        <x:is>
          <x:t xml:space="preserve">official response plan</x:t>
        </x:is>
      </x:c>
      <x:c r="V9" t="inlineStr">
        <x:is>
          <x:t xml:space="preserve">https://www.who.int/docs/default-source/documents/spr-ebola-2019/srp1-drc-ebola-disease-outbreak-response-plan.pdf?sfvrsn=40799796_4</x:t>
        </x:is>
      </x:c>
      <x:c r="X9" t="inlineStr">
        <x:is>
          <x:t xml:space="preserve">The response plan states that as of 8 Aug 2018 there were 44 cases and 16 inpatients after new admissions to Mangina hospital.</x:t>
        </x:is>
      </x:c>
      <x:c r="Y9" t="inlineStr">
        <x:is>
          <x:t xml:space="preserve">Derived as 16/44 = 0.364 as an early formal-care probability proxy.</x:t>
        </x:is>
      </x:c>
    </x:row>
    <x:row r="10">
      <x:c r="A10" t="inlineStr">
        <x:is>
          <x:t xml:space="preserve">DRC_PH_03</x:t>
        </x:is>
      </x:c>
      <x:c r="B10" t="inlineStr">
        <x:is>
          <x:t xml:space="preserve">p_hosp</x:t>
        </x:is>
      </x:c>
      <x:c r="C10" s="4" t="n">
        <x:v>168</x:v>
      </x:c>
      <x:c r="D10" s="5" t="n">
        <x:v>44151</x:v>
      </x:c>
      <x:c r="E10" t="inlineStr">
        <x:is>
          <x:t xml:space="preserve">DRC 2020 Equateur analogue</x:t>
        </x:is>
      </x:c>
      <x:c r="F10" t="inlineStr">
        <x:is>
          <x:t xml:space="preserve">Equateur Province</x:t>
        </x:is>
      </x:c>
      <x:c r="G10" t="inlineStr">
        <x:is>
          <x:t xml:space="preserve">ratio</x:t>
        </x:is>
      </x:c>
      <x:c r="H10" s="7" t="n"/>
      <x:c r="I10" s="6" t="n">
        <x:v>78</x:v>
      </x:c>
      <x:c r="J10" s="6" t="n">
        <x:v>130</x:v>
      </x:c>
      <x:c r="K10" s="8">
        <x:f>IF(G10="manual",H10,IF(G10="ratio",IFERROR(I10/J10,""),IF(G10="one_minus_ratio",IFERROR(1-(I10/J10),""),"")))</x:f>
        <x:v>0.6</x:v>
      </x:c>
      <x:c r="L10" t="inlineStr">
        <x:is>
          <x:t xml:space="preserve">proportion</x:t>
        </x:is>
      </x:c>
      <x:c r="M10" t="inlineStr">
        <x:is>
          <x:t xml:space="preserve">main_fit</x:t>
        </x:is>
      </x:c>
      <x:c r="N10" t="inlineStr">
        <x:is>
          <x:t xml:space="preserve">derived_direct</x:t>
        </x:is>
      </x:c>
      <x:c r="O10" t="inlineStr">
        <x:is>
          <x:t xml:space="preserve">YES</x:t>
        </x:is>
      </x:c>
      <x:c r="P10" s="9" t="n">
        <x:v>1</x:v>
      </x:c>
      <x:c r="Q10" t="inlineStr">
        <x:is>
          <x:t xml:space="preserve">up</x:t>
        </x:is>
      </x:c>
      <x:c r="R10" s="9" t="n">
        <x:v>0.3</x:v>
      </x:c>
      <x:c r="S10" s="9" t="n">
        <x:v>0.95</x:v>
      </x:c>
      <x:c r="T10" t="inlineStr">
        <x:is>
          <x:t xml:space="preserve">Lampaert et al. 2024</x:t>
        </x:is>
      </x:c>
      <x:c r="U10" t="inlineStr">
        <x:is>
          <x:t xml:space="preserve">peer-reviewed DRC analogue study</x:t>
        </x:is>
      </x:c>
      <x:c r="V10" t="inlineStr">
        <x:is>
          <x:t xml:space="preserve">https://pmc.ncbi.nlm.nih.gov/articles/PMC11406140/</x:t>
        </x:is>
      </x:c>
      <x:c r="X10" t="inlineStr">
        <x:is>
          <x:t xml:space="preserve">Of 130 outbreak cases, 78 were admitted to Ebola-virus-disease health facilities.</x:t>
        </x:is>
      </x:c>
      <x:c r="Y10" t="inlineStr">
        <x:is>
          <x:t xml:space="preserve">Derived as 78/130 = 0.60 as a same-country comparator for formal-care probability.</x:t>
        </x:is>
      </x:c>
    </x:row>
    <x:row r="11">
      <x:c r="A11" t="inlineStr">
        <x:is>
          <x:t xml:space="preserve">DRC_PH_02</x:t>
        </x:is>
      </x:c>
      <x:c r="B11" t="inlineStr">
        <x:is>
          <x:t xml:space="preserve">p_hosp</x:t>
        </x:is>
      </x:c>
      <x:c r="C11" s="4" t="n">
        <x:v>212</x:v>
      </x:c>
      <x:c r="D11" s="5" t="n">
        <x:v>43525</x:v>
      </x:c>
      <x:c r="E11" t="inlineStr">
        <x:is>
          <x:t xml:space="preserve">DRC 2018-2019</x:t>
        </x:is>
      </x:c>
      <x:c r="F11" t="inlineStr">
        <x:is>
          <x:t xml:space="preserve">North Kivu / Ituri</x:t>
        </x:is>
      </x:c>
      <x:c r="G11" t="inlineStr">
        <x:is>
          <x:t xml:space="preserve">manual</x:t>
        </x:is>
      </x:c>
      <x:c r="H11" s="6" t="n">
        <x:v>0.5</x:v>
      </x:c>
      <x:c r="I11" s="7" t="n"/>
      <x:c r="J11" s="7" t="n"/>
      <x:c r="K11" s="8">
        <x:f>IF(G11="manual",H11,IF(G11="ratio",IFERROR(I11/J11,""),IF(G11="one_minus_ratio",IFERROR(1-(I11/J11),""),"")))</x:f>
        <x:v>0.5</x:v>
      </x:c>
      <x:c r="L11" t="inlineStr">
        <x:is>
          <x:t xml:space="preserve">proportion</x:t>
        </x:is>
      </x:c>
      <x:c r="M11" t="inlineStr">
        <x:is>
          <x:t xml:space="preserve">secondary_fit</x:t>
        </x:is>
      </x:c>
      <x:c r="N11" t="inlineStr">
        <x:is>
          <x:t xml:space="preserve">constructed_from_response_structure</x:t>
        </x:is>
      </x:c>
      <x:c r="O11" t="inlineStr">
        <x:is>
          <x:t xml:space="preserve">YES</x:t>
        </x:is>
      </x:c>
      <x:c r="P11" s="9" t="n">
        <x:v>0.75</x:v>
      </x:c>
      <x:c r="Q11" t="inlineStr">
        <x:is>
          <x:t xml:space="preserve">up</x:t>
        </x:is>
      </x:c>
      <x:c r="R11" s="9" t="n">
        <x:v>0.3</x:v>
      </x:c>
      <x:c r="S11" s="9" t="n">
        <x:v>0.95</x:v>
      </x:c>
      <x:c r="T11" t="inlineStr">
        <x:is>
          <x:t xml:space="preserve">WHO response to the 2018–2019 outbreak in DRC</x:t>
        </x:is>
      </x:c>
      <x:c r="U11" t="inlineStr">
        <x:is>
          <x:t xml:space="preserve">WHO response review</x:t>
        </x:is>
      </x:c>
      <x:c r="V11" t="inlineStr">
        <x:is>
          <x:t xml:space="preserve">https://www.who.int/docs/default-source/documents/emergencies/drc-ebola-response-srp-1-3-october2019.pdf</x:t>
        </x:is>
      </x:c>
      <x:c r="X11" t="inlineStr">
        <x:is>
          <x:t xml:space="preserve">By early 2019 transit centres were being opened closer to hotspots to improve access and presentation.</x:t>
        </x:is>
      </x:c>
      <x:c r="Y11" t="inlineStr">
        <x:is>
          <x:t xml:space="preserve">Constructed mid-response formal-care anchor to reflect improved access relative to the earliest phase.</x:t>
        </x:is>
      </x:c>
    </x:row>
    <x:row r="12">
      <x:c r="A12" t="inlineStr">
        <x:is>
          <x:t xml:space="preserve">DRC_ETU_00</x:t>
        </x:is>
      </x:c>
      <x:c r="B12" t="inlineStr">
        <x:is>
          <x:t xml:space="preserve">p_ETU</x:t>
        </x:is>
      </x:c>
      <x:c r="C12" s="4" t="n">
        <x:v>0</x:v>
      </x:c>
      <x:c r="D12" s="5" t="n">
        <x:v>43313</x:v>
      </x:c>
      <x:c r="E12" t="inlineStr">
        <x:is>
          <x:t xml:space="preserve">DRC 2018-2019</x:t>
        </x:is>
      </x:c>
      <x:c r="F12" t="inlineStr">
        <x:is>
          <x:t xml:space="preserve">North Kivu / Ituri</x:t>
        </x:is>
      </x:c>
      <x:c r="G12" t="inlineStr">
        <x:is>
          <x:t xml:space="preserve">manual</x:t>
        </x:is>
      </x:c>
      <x:c r="H12" s="6" t="n">
        <x:v>0.35</x:v>
      </x:c>
      <x:c r="I12" s="7" t="n"/>
      <x:c r="J12" s="7" t="n"/>
      <x:c r="K12" s="8">
        <x:f>IF(G12="manual",H12,IF(G12="ratio",IFERROR(I12/J12,""),IF(G12="one_minus_ratio",IFERROR(1-(I12/J12),""),"")))</x:f>
        <x:v>0.35</x:v>
      </x:c>
      <x:c r="L12" t="inlineStr">
        <x:is>
          <x:t xml:space="preserve">proportion</x:t>
        </x:is>
      </x:c>
      <x:c r="M12" t="inlineStr">
        <x:is>
          <x:t xml:space="preserve">boundary_anchor</x:t>
        </x:is>
      </x:c>
      <x:c r="N12" t="inlineStr">
        <x:is>
          <x:t xml:space="preserve">constructed_boundary</x:t>
        </x:is>
      </x:c>
      <x:c r="O12" t="inlineStr">
        <x:is>
          <x:t xml:space="preserve">YES</x:t>
        </x:is>
      </x:c>
      <x:c r="P12" s="9" t="n">
        <x:v>0.6</x:v>
      </x:c>
      <x:c r="Q12" t="inlineStr">
        <x:is>
          <x:t xml:space="preserve">up</x:t>
        </x:is>
      </x:c>
      <x:c r="R12" s="9" t="n">
        <x:v>0</x:v>
      </x:c>
      <x:c r="S12" s="9" t="n">
        <x:v>0.9</x:v>
      </x:c>
      <x:c r="T12" t="inlineStr">
        <x:is>
          <x:t xml:space="preserve">WHO response plan 2018</x:t>
        </x:is>
      </x:c>
      <x:c r="U12" t="inlineStr">
        <x:is>
          <x:t xml:space="preserve">official response plan</x:t>
        </x:is>
      </x:c>
      <x:c r="V12" t="inlineStr">
        <x:is>
          <x:t xml:space="preserve">https://www.who.int/docs/default-source/documents/spr-ebola-2019/srp1-drc-ebola-disease-outbreak-response-plan.pdf?sfvrsn=40799796_4</x:t>
        </x:is>
      </x:c>
      <x:c r="X12" t="inlineStr">
        <x:is>
          <x:t xml:space="preserve">The initial response already included ETC establishment and IPC reinforcement in major hospitals, implying a higher dedicated-care share than West Africa at day 0.</x:t>
        </x:is>
      </x:c>
      <x:c r="Y12" t="inlineStr">
        <x:is>
          <x:t xml:space="preserve">Constructed boundary anchor for dedicated Ebola care share.</x:t>
        </x:is>
      </x:c>
    </x:row>
    <x:row r="13">
      <x:c r="A13" t="inlineStr">
        <x:is>
          <x:t xml:space="preserve">DRC_ETU_02</x:t>
        </x:is>
      </x:c>
      <x:c r="B13" t="inlineStr">
        <x:is>
          <x:t xml:space="preserve">p_ETU</x:t>
        </x:is>
      </x:c>
      <x:c r="C13" s="4" t="n">
        <x:v>44</x:v>
      </x:c>
      <x:c r="D13" s="5" t="n">
        <x:v>44027</x:v>
      </x:c>
      <x:c r="E13" t="inlineStr">
        <x:is>
          <x:t xml:space="preserve">DRC 2020 Equateur analogue</x:t>
        </x:is>
      </x:c>
      <x:c r="F13" t="inlineStr">
        <x:is>
          <x:t xml:space="preserve">Equateur Province</x:t>
        </x:is>
      </x:c>
      <x:c r="G13" t="inlineStr">
        <x:is>
          <x:t xml:space="preserve">ratio</x:t>
        </x:is>
      </x:c>
      <x:c r="H13" s="7" t="n"/>
      <x:c r="I13" s="6" t="n">
        <x:v>1996</x:v>
      </x:c>
      <x:c r="J13" s="6" t="n">
        <x:v>2359</x:v>
      </x:c>
      <x:c r="K13" s="8">
        <x:f>IF(G13="manual",H13,IF(G13="ratio",IFERROR(I13/J13,""),IF(G13="one_minus_ratio",IFERROR(1-(I13/J13),""),"")))</x:f>
        <x:v>0.8461212378126325</x:v>
      </x:c>
      <x:c r="L13" t="inlineStr">
        <x:is>
          <x:t xml:space="preserve">proportion</x:t>
        </x:is>
      </x:c>
      <x:c r="M13" t="inlineStr">
        <x:is>
          <x:t xml:space="preserve">secondary_fit</x:t>
        </x:is>
      </x:c>
      <x:c r="N13" t="inlineStr">
        <x:is>
          <x:t xml:space="preserve">derived_direct</x:t>
        </x:is>
      </x:c>
      <x:c r="O13" t="inlineStr">
        <x:is>
          <x:t xml:space="preserve">YES</x:t>
        </x:is>
      </x:c>
      <x:c r="P13" s="9" t="n">
        <x:v>0.75</x:v>
      </x:c>
      <x:c r="Q13" t="inlineStr">
        <x:is>
          <x:t xml:space="preserve">up</x:t>
        </x:is>
      </x:c>
      <x:c r="R13" s="9" t="n">
        <x:v>0</x:v>
      </x:c>
      <x:c r="S13" s="9" t="n">
        <x:v>0.9</x:v>
      </x:c>
      <x:c r="T13" t="inlineStr">
        <x:is>
          <x:t xml:space="preserve">Lampaert et al. 2024</x:t>
        </x:is>
      </x:c>
      <x:c r="U13" t="inlineStr">
        <x:is>
          <x:t xml:space="preserve">peer-reviewed DRC analogue study</x:t>
        </x:is>
      </x:c>
      <x:c r="V13" t="inlineStr">
        <x:is>
          <x:t xml:space="preserve">https://pmc.ncbi.nlm.nih.gov/articles/PMC11406140/</x:t>
        </x:is>
      </x:c>
      <x:c r="X13" t="inlineStr">
        <x:is>
          <x:t xml:space="preserve">Of 2,359 suspected patients, 1,996 were first admitted to an ETC and 363 to a decentralised treatment centre.</x:t>
        </x:is>
      </x:c>
      <x:c r="Y13" t="inlineStr">
        <x:is>
          <x:t xml:space="preserve">Derived as 1,996/2,359 = 0.846 to show that later DRC responses could be strongly ETC-centric; used as an upper support anchor.</x:t>
        </x:is>
      </x:c>
    </x:row>
    <x:row r="14">
      <x:c r="A14" t="inlineStr">
        <x:is>
          <x:t xml:space="preserve">DRC_ETU_01</x:t>
        </x:is>
      </x:c>
      <x:c r="B14" t="inlineStr">
        <x:is>
          <x:t xml:space="preserve">p_ETU</x:t>
        </x:is>
      </x:c>
      <x:c r="C14" s="4" t="n">
        <x:v>212</x:v>
      </x:c>
      <x:c r="D14" s="5" t="n">
        <x:v>43525</x:v>
      </x:c>
      <x:c r="E14" t="inlineStr">
        <x:is>
          <x:t xml:space="preserve">DRC 2018-2019</x:t>
        </x:is>
      </x:c>
      <x:c r="F14" t="inlineStr">
        <x:is>
          <x:t xml:space="preserve">North Kivu / Ituri</x:t>
        </x:is>
      </x:c>
      <x:c r="G14" t="inlineStr">
        <x:is>
          <x:t xml:space="preserve">manual</x:t>
        </x:is>
      </x:c>
      <x:c r="H14" s="6" t="n">
        <x:v>0.55</x:v>
      </x:c>
      <x:c r="I14" s="7" t="n"/>
      <x:c r="J14" s="7" t="n"/>
      <x:c r="K14" s="8">
        <x:f>IF(G14="manual",H14,IF(G14="ratio",IFERROR(I14/J14,""),IF(G14="one_minus_ratio",IFERROR(1-(I14/J14),""),"")))</x:f>
        <x:v>0.55</x:v>
      </x:c>
      <x:c r="L14" t="inlineStr">
        <x:is>
          <x:t xml:space="preserve">proportion</x:t>
        </x:is>
      </x:c>
      <x:c r="M14" t="inlineStr">
        <x:is>
          <x:t xml:space="preserve">main_fit</x:t>
        </x:is>
      </x:c>
      <x:c r="N14" t="inlineStr">
        <x:is>
          <x:t xml:space="preserve">constructed_from_response_structure</x:t>
        </x:is>
      </x:c>
      <x:c r="O14" t="inlineStr">
        <x:is>
          <x:t xml:space="preserve">YES</x:t>
        </x:is>
      </x:c>
      <x:c r="P14" s="9" t="n">
        <x:v>1</x:v>
      </x:c>
      <x:c r="Q14" t="inlineStr">
        <x:is>
          <x:t xml:space="preserve">up</x:t>
        </x:is>
      </x:c>
      <x:c r="R14" s="9" t="n">
        <x:v>0</x:v>
      </x:c>
      <x:c r="S14" s="9" t="n">
        <x:v>0.9</x:v>
      </x:c>
      <x:c r="T14" t="inlineStr">
        <x:is>
          <x:t xml:space="preserve">WHO response to the 2018–2019 outbreak in DRC</x:t>
        </x:is>
      </x:c>
      <x:c r="U14" t="inlineStr">
        <x:is>
          <x:t xml:space="preserve">WHO response review</x:t>
        </x:is>
      </x:c>
      <x:c r="V14" t="inlineStr">
        <x:is>
          <x:t xml:space="preserve">https://www.who.int/docs/default-source/documents/emergencies/drc-ebola-response-srp-1-3-october2019.pdf</x:t>
        </x:is>
      </x:c>
      <x:c r="X14" t="inlineStr">
        <x:is>
          <x:t xml:space="preserve">WHO describes a growing network of ETCs and transit centres closer to transmission hotspots.</x:t>
        </x:is>
      </x:c>
      <x:c r="Y14" t="inlineStr">
        <x:is>
          <x:t xml:space="preserve">Constructed dedicated-care share reflecting increasing use of ETC/TC pathways.</x:t>
        </x:is>
      </x:c>
    </x:row>
    <x:row r="15">
      <x:c r="A15" t="inlineStr">
        <x:is>
          <x:t xml:space="preserve">DRC_IPC_01</x:t>
        </x:is>
      </x:c>
      <x:c r="B15" t="inlineStr">
        <x:is>
          <x:t xml:space="preserve">latent_IPC</x:t>
        </x:is>
      </x:c>
      <x:c r="C15" s="4" t="n">
        <x:v>226</x:v>
      </x:c>
      <x:c r="D15" s="5" t="n">
        <x:v>43539</x:v>
      </x:c>
      <x:c r="E15" t="inlineStr">
        <x:is>
          <x:t xml:space="preserve">DRC 2018-2019</x:t>
        </x:is>
      </x:c>
      <x:c r="F15" t="inlineStr">
        <x:is>
          <x:t xml:space="preserve">North Kivu / Ituri</x:t>
        </x:is>
      </x:c>
      <x:c r="G15" t="inlineStr">
        <x:is>
          <x:t xml:space="preserve">manual</x:t>
        </x:is>
      </x:c>
      <x:c r="H15" s="6" t="n">
        <x:v>0.2</x:v>
      </x:c>
      <x:c r="I15" s="7" t="n"/>
      <x:c r="J15" s="7" t="n"/>
      <x:c r="K15" s="8">
        <x:f>IF(G15="manual",H15,IF(G15="ratio",IFERROR(I15/J15,""),IF(G15="one_minus_ratio",IFERROR(1-(I15/J15),""),"")))</x:f>
        <x:v>0.2</x:v>
      </x:c>
      <x:c r="L15" t="inlineStr">
        <x:is>
          <x:t xml:space="preserve">index (0-1)</x:t>
        </x:is>
      </x:c>
      <x:c r="M15" t="inlineStr">
        <x:is>
          <x:t xml:space="preserve">main_fit</x:t>
        </x:is>
      </x:c>
      <x:c r="N15" t="inlineStr">
        <x:is>
          <x:t xml:space="preserve">constructed_from_direct_assessment</x:t>
        </x:is>
      </x:c>
      <x:c r="O15" t="inlineStr">
        <x:is>
          <x:t xml:space="preserve">YES</x:t>
        </x:is>
      </x:c>
      <x:c r="P15" s="9" t="n">
        <x:v>1</x:v>
      </x:c>
      <x:c r="Q15" t="inlineStr">
        <x:is>
          <x:t xml:space="preserve">up</x:t>
        </x:is>
      </x:c>
      <x:c r="R15" s="9" t="n">
        <x:v>0</x:v>
      </x:c>
      <x:c r="S15" s="9" t="n">
        <x:v>0.95</x:v>
      </x:c>
      <x:c r="T15" t="inlineStr">
        <x:is>
          <x:t xml:space="preserve">Biedron et al. 2019</x:t>
        </x:is>
      </x:c>
      <x:c r="U15" t="inlineStr">
        <x:is>
          <x:t xml:space="preserve">CDC MMWR / IPC readiness assessment</x:t>
        </x:is>
      </x:c>
      <x:c r="V15" t="inlineStr">
        <x:is>
          <x:t xml:space="preserve">https://pmc.ncbi.nlm.nih.gov/articles/PMC6776373/</x:t>
        </x:is>
      </x:c>
      <x:c r="X15" t="inlineStr">
        <x:is>
          <x:t xml:space="preserve">IPC readiness assessments highlighted important gaps in screening, isolation, notification and infrastructure in frontline facilities.</x:t>
        </x:is>
      </x:c>
      <x:c r="Y15" t="inlineStr">
        <x:is>
          <x:t xml:space="preserve">Constructed early latent IPC anchor from direct readiness assessment findings.</x:t>
        </x:is>
      </x:c>
    </x:row>
    <x:row r="16">
      <x:c r="A16" t="inlineStr">
        <x:is>
          <x:t xml:space="preserve">DRC_IPC_05</x:t>
        </x:is>
      </x:c>
      <x:c r="B16" t="inlineStr">
        <x:is>
          <x:t xml:space="preserve">latent_IPC</x:t>
        </x:is>
      </x:c>
      <x:c r="C16" s="4" t="n">
        <x:v>300</x:v>
      </x:c>
      <x:c r="D16" s="5" t="n">
        <x:v>43862</x:v>
      </x:c>
      <x:c r="E16" t="inlineStr">
        <x:is>
          <x:t xml:space="preserve">DRC 2018-2020</x:t>
        </x:is>
      </x:c>
      <x:c r="F16" t="inlineStr">
        <x:is>
          <x:t xml:space="preserve">North Kivu / Ituri</x:t>
        </x:is>
      </x:c>
      <x:c r="G16" t="inlineStr">
        <x:is>
          <x:t xml:space="preserve">manual</x:t>
        </x:is>
      </x:c>
      <x:c r="H16" s="6" t="n">
        <x:v>0.65</x:v>
      </x:c>
      <x:c r="I16" s="7" t="n"/>
      <x:c r="J16" s="7" t="n"/>
      <x:c r="K16" s="8">
        <x:f>IF(G16="manual",H16,IF(G16="ratio",IFERROR(I16/J16,""),IF(G16="one_minus_ratio",IFERROR(1-(I16/J16),""),"")))</x:f>
        <x:v>0.65</x:v>
      </x:c>
      <x:c r="L16" t="inlineStr">
        <x:is>
          <x:t xml:space="preserve">index (0-1)</x:t>
        </x:is>
      </x:c>
      <x:c r="M16" t="inlineStr">
        <x:is>
          <x:t xml:space="preserve">shape_prior</x:t>
        </x:is>
      </x:c>
      <x:c r="N16" t="inlineStr">
        <x:is>
          <x:t xml:space="preserve">constructed_from_direct_assessment</x:t>
        </x:is>
      </x:c>
      <x:c r="O16" t="inlineStr">
        <x:is>
          <x:t xml:space="preserve">YES</x:t>
        </x:is>
      </x:c>
      <x:c r="P16" s="9" t="n">
        <x:v>0.5</x:v>
      </x:c>
      <x:c r="Q16" t="inlineStr">
        <x:is>
          <x:t xml:space="preserve">up</x:t>
        </x:is>
      </x:c>
      <x:c r="R16" s="9" t="n">
        <x:v>0</x:v>
      </x:c>
      <x:c r="S16" s="9" t="n">
        <x:v>0.95</x:v>
      </x:c>
      <x:c r="T16" t="inlineStr">
        <x:is>
          <x:t xml:space="preserve">WHO response review + Kabego et al. 2023</x:t>
        </x:is>
      </x:c>
      <x:c r="U16" t="inlineStr">
        <x:is>
          <x:t xml:space="preserve">WHO review + peer-reviewed study</x:t>
        </x:is>
      </x:c>
      <x:c r="V16" t="inlineStr">
        <x:is>
          <x:t xml:space="preserve">https://www.who.int/docs/default-source/documents/emergencies/drc-ebola-response-srp-1-3-october2019.pdf</x:t>
        </x:is>
      </x:c>
      <x:c r="W16" t="inlineStr">
        <x:is>
          <x:t xml:space="preserve">https://pubmed.ncbi.nlm.nih.gov/36609234/</x:t>
        </x:is>
      </x:c>
      <x:c r="X16" t="inlineStr">
        <x:is>
          <x:t xml:space="preserve">By late response, screening, IPC support, and facility mentoring were substantially scaled up.</x:t>
        </x:is>
      </x:c>
      <x:c r="Y16" t="inlineStr">
        <x:is>
          <x:t xml:space="preserve">Late smoothness prior keeping DRC IPC above worst-case but below best-case systems.</x:t>
        </x:is>
      </x:c>
    </x:row>
    <x:row r="17">
      <x:c r="A17" t="inlineStr">
        <x:is>
          <x:t xml:space="preserve">DRC_IPC_02</x:t>
        </x:is>
      </x:c>
      <x:c r="B17" t="inlineStr">
        <x:is>
          <x:t xml:space="preserve">latent_IPC</x:t>
        </x:is>
      </x:c>
      <x:c r="C17" s="4" t="n">
        <x:v>304</x:v>
      </x:c>
      <x:c r="D17" s="5" t="n">
        <x:v>43617</x:v>
      </x:c>
      <x:c r="E17" t="inlineStr">
        <x:is>
          <x:t xml:space="preserve">DRC 2018-2019</x:t>
        </x:is>
      </x:c>
      <x:c r="F17" t="inlineStr">
        <x:is>
          <x:t xml:space="preserve">North Kivu / Ituri</x:t>
        </x:is>
      </x:c>
      <x:c r="G17" t="inlineStr">
        <x:is>
          <x:t xml:space="preserve">manual</x:t>
        </x:is>
      </x:c>
      <x:c r="H17" s="6" t="n">
        <x:v>0.0441</x:v>
      </x:c>
      <x:c r="I17" s="7" t="n"/>
      <x:c r="J17" s="7" t="n"/>
      <x:c r="K17" s="8">
        <x:f>IF(G17="manual",H17,IF(G17="ratio",IFERROR(I17/J17,""),IF(G17="one_minus_ratio",IFERROR(1-(I17/J17),""),"")))</x:f>
        <x:v>0.0441</x:v>
      </x:c>
      <x:c r="L17" t="inlineStr">
        <x:is>
          <x:t xml:space="preserve">index (0-1)</x:t>
        </x:is>
      </x:c>
      <x:c r="M17" t="inlineStr">
        <x:is>
          <x:t xml:space="preserve">support_only</x:t>
        </x:is>
      </x:c>
      <x:c r="N17" t="inlineStr">
        <x:is>
          <x:t xml:space="preserve">direct_observed_facility_score</x:t>
        </x:is>
      </x:c>
      <x:c r="O17" t="inlineStr">
        <x:is>
          <x:t xml:space="preserve">NO</x:t>
        </x:is>
      </x:c>
      <x:c r="P17" s="9" t="n">
        <x:v>0</x:v>
      </x:c>
      <x:c r="Q17" t="inlineStr">
        <x:is>
          <x:t xml:space="preserve">up</x:t>
        </x:is>
      </x:c>
      <x:c r="R17" s="9" t="n">
        <x:v>0</x:v>
      </x:c>
      <x:c r="S17" s="9" t="n">
        <x:v>0.95</x:v>
      </x:c>
      <x:c r="T17" t="inlineStr">
        <x:is>
          <x:t xml:space="preserve">Kabego et al. 2023</x:t>
        </x:is>
      </x:c>
      <x:c r="U17" t="inlineStr">
        <x:is>
          <x:t xml:space="preserve">peer-reviewed IPC intervention study</x:t>
        </x:is>
      </x:c>
      <x:c r="V17" t="inlineStr">
        <x:is>
          <x:t xml:space="preserve">https://pubmed.ncbi.nlm.nih.gov/36609234/</x:t>
        </x:is>
      </x:c>
      <x:c r="X17" t="inlineStr">
        <x:is>
          <x:t xml:space="preserve">Aggregate mean IPC score at baseline across facilities was 4.41%.</x:t>
        </x:is>
      </x:c>
      <x:c r="Y17" t="inlineStr">
        <x:is>
          <x:t xml:space="preserve">Retained on-sheet because it is highly relevant direct IPC evidence, but not used directly in the latent IPC pooled fit because the latent index is a broader system-readiness construct.</x:t>
        </x:is>
      </x:c>
    </x:row>
    <x:row r="18">
      <x:c r="A18" t="inlineStr">
        <x:is>
          <x:t xml:space="preserve">DRC_IPC_03</x:t>
        </x:is>
      </x:c>
      <x:c r="B18" t="inlineStr">
        <x:is>
          <x:t xml:space="preserve">latent_IPC</x:t>
        </x:is>
      </x:c>
      <x:c r="C18" s="4" t="n">
        <x:v>457</x:v>
      </x:c>
      <x:c r="D18" s="5" t="n">
        <x:v>43770</x:v>
      </x:c>
      <x:c r="E18" t="inlineStr">
        <x:is>
          <x:t xml:space="preserve">DRC 2018-2019</x:t>
        </x:is>
      </x:c>
      <x:c r="F18" t="inlineStr">
        <x:is>
          <x:t xml:space="preserve">North Kivu / Ituri</x:t>
        </x:is>
      </x:c>
      <x:c r="G18" t="inlineStr">
        <x:is>
          <x:t xml:space="preserve">manual</x:t>
        </x:is>
      </x:c>
      <x:c r="H18" s="6" t="n">
        <x:v>0.3951</x:v>
      </x:c>
      <x:c r="I18" s="7" t="n"/>
      <x:c r="J18" s="7" t="n"/>
      <x:c r="K18" s="8">
        <x:f>IF(G18="manual",H18,IF(G18="ratio",IFERROR(I18/J18,""),IF(G18="one_minus_ratio",IFERROR(1-(I18/J18),""),"")))</x:f>
        <x:v>0.3951</x:v>
      </x:c>
      <x:c r="L18" t="inlineStr">
        <x:is>
          <x:t xml:space="preserve">index (0-1)</x:t>
        </x:is>
      </x:c>
      <x:c r="M18" t="inlineStr">
        <x:is>
          <x:t xml:space="preserve">support_only</x:t>
        </x:is>
      </x:c>
      <x:c r="N18" t="inlineStr">
        <x:is>
          <x:t xml:space="preserve">direct_observed_facility_score</x:t>
        </x:is>
      </x:c>
      <x:c r="O18" t="inlineStr">
        <x:is>
          <x:t xml:space="preserve">NO</x:t>
        </x:is>
      </x:c>
      <x:c r="P18" s="9" t="n">
        <x:v>0</x:v>
      </x:c>
      <x:c r="Q18" t="inlineStr">
        <x:is>
          <x:t xml:space="preserve">up</x:t>
        </x:is>
      </x:c>
      <x:c r="R18" s="9" t="n">
        <x:v>0</x:v>
      </x:c>
      <x:c r="S18" s="9" t="n">
        <x:v>0.95</x:v>
      </x:c>
      <x:c r="T18" t="inlineStr">
        <x:is>
          <x:t xml:space="preserve">Kabego et al. 2023</x:t>
        </x:is>
      </x:c>
      <x:c r="U18" t="inlineStr">
        <x:is>
          <x:t xml:space="preserve">peer-reviewed IPC intervention study</x:t>
        </x:is>
      </x:c>
      <x:c r="V18" t="inlineStr">
        <x:is>
          <x:t xml:space="preserve">https://pubmed.ncbi.nlm.nih.gov/36609234/</x:t>
        </x:is>
      </x:c>
      <x:c r="X18" t="inlineStr">
        <x:is>
          <x:t xml:space="preserve">Aggregate mean IPC score at follow-up across facilities was 39.51%; hospitals improved to a mean of 50%.</x:t>
        </x:is>
      </x:c>
      <x:c r="Y18" t="inlineStr">
        <x:is>
          <x:t xml:space="preserve">Direct facility score retained on-sheet; not used directly in the latent index fit.</x:t>
        </x:is>
      </x:c>
    </x:row>
    <x:row r="19">
      <x:c r="A19" t="inlineStr">
        <x:is>
          <x:t xml:space="preserve">DRC_IPC_04</x:t>
        </x:is>
      </x:c>
      <x:c r="B19" t="inlineStr">
        <x:is>
          <x:t xml:space="preserve">latent_IPC</x:t>
        </x:is>
      </x:c>
      <x:c r="C19" s="4" t="n">
        <x:v>457</x:v>
      </x:c>
      <x:c r="D19" s="5" t="n">
        <x:v>43770</x:v>
      </x:c>
      <x:c r="E19" t="inlineStr">
        <x:is>
          <x:t xml:space="preserve">DRC 2018-2019</x:t>
        </x:is>
      </x:c>
      <x:c r="F19" t="inlineStr">
        <x:is>
          <x:t xml:space="preserve">North Kivu / Ituri</x:t>
        </x:is>
      </x:c>
      <x:c r="G19" t="inlineStr">
        <x:is>
          <x:t xml:space="preserve">manual</x:t>
        </x:is>
      </x:c>
      <x:c r="H19" s="6" t="n">
        <x:v>0.5</x:v>
      </x:c>
      <x:c r="I19" s="7" t="n"/>
      <x:c r="J19" s="7" t="n"/>
      <x:c r="K19" s="8">
        <x:f>IF(G19="manual",H19,IF(G19="ratio",IFERROR(I19/J19,""),IF(G19="one_minus_ratio",IFERROR(1-(I19/J19),""),"")))</x:f>
        <x:v>0.5</x:v>
      </x:c>
      <x:c r="L19" t="inlineStr">
        <x:is>
          <x:t xml:space="preserve">index (0-1)</x:t>
        </x:is>
      </x:c>
      <x:c r="M19" t="inlineStr">
        <x:is>
          <x:t xml:space="preserve">main_fit</x:t>
        </x:is>
      </x:c>
      <x:c r="N19" t="inlineStr">
        <x:is>
          <x:t xml:space="preserve">constructed_from_direct_assessment</x:t>
        </x:is>
      </x:c>
      <x:c r="O19" t="inlineStr">
        <x:is>
          <x:t xml:space="preserve">YES</x:t>
        </x:is>
      </x:c>
      <x:c r="P19" s="9" t="n">
        <x:v>1</x:v>
      </x:c>
      <x:c r="Q19" t="inlineStr">
        <x:is>
          <x:t xml:space="preserve">up</x:t>
        </x:is>
      </x:c>
      <x:c r="R19" s="9" t="n">
        <x:v>0</x:v>
      </x:c>
      <x:c r="S19" s="9" t="n">
        <x:v>0.95</x:v>
      </x:c>
      <x:c r="T19" t="inlineStr">
        <x:is>
          <x:t xml:space="preserve">Kabego et al. 2023</x:t>
        </x:is>
      </x:c>
      <x:c r="U19" t="inlineStr">
        <x:is>
          <x:t xml:space="preserve">peer-reviewed IPC intervention study</x:t>
        </x:is>
      </x:c>
      <x:c r="V19" t="inlineStr">
        <x:is>
          <x:t xml:space="preserve">https://pubmed.ncbi.nlm.nih.gov/36609234/</x:t>
        </x:is>
      </x:c>
      <x:c r="X19" t="inlineStr">
        <x:is>
          <x:t xml:space="preserve">Hospitals improved to mean IPC scores of 50% after multimodal intervention.</x:t>
        </x:is>
      </x:c>
      <x:c r="Y19" t="inlineStr">
        <x:is>
          <x:t xml:space="preserve">Hospital IPC score used as a pragmatic late latent-IPC anchor for the middle scenario.</x:t>
        </x:is>
      </x:c>
    </x:row>
    <x:row r="20">
      <x:c r="A20" t="inlineStr">
        <x:is>
          <x:t xml:space="preserve">DRC_UFC_00</x:t>
        </x:is>
      </x:c>
      <x:c r="B20" t="inlineStr">
        <x:is>
          <x:t xml:space="preserve">p_unsafe_funeral_comm</x:t>
        </x:is>
      </x:c>
      <x:c r="C20" s="4" t="n">
        <x:v>0</x:v>
      </x:c>
      <x:c r="D20" s="5" t="n">
        <x:v>43313</x:v>
      </x:c>
      <x:c r="E20" t="inlineStr">
        <x:is>
          <x:t xml:space="preserve">DRC 2018-2019</x:t>
        </x:is>
      </x:c>
      <x:c r="F20" t="inlineStr">
        <x:is>
          <x:t xml:space="preserve">North Kivu / Ituri</x:t>
        </x:is>
      </x:c>
      <x:c r="G20" t="inlineStr">
        <x:is>
          <x:t xml:space="preserve">manual</x:t>
        </x:is>
      </x:c>
      <x:c r="H20" s="6" t="n">
        <x:v>0.6</x:v>
      </x:c>
      <x:c r="I20" s="7" t="n"/>
      <x:c r="J20" s="7" t="n"/>
      <x:c r="K20" s="8">
        <x:f>IF(G20="manual",H20,IF(G20="ratio",IFERROR(I20/J20,""),IF(G20="one_minus_ratio",IFERROR(1-(I20/J20),""),"")))</x:f>
        <x:v>0.6</x:v>
      </x:c>
      <x:c r="L20" t="inlineStr">
        <x:is>
          <x:t xml:space="preserve">proportion</x:t>
        </x:is>
      </x:c>
      <x:c r="M20" t="inlineStr">
        <x:is>
          <x:t xml:space="preserve">boundary_anchor</x:t>
        </x:is>
      </x:c>
      <x:c r="N20" t="inlineStr">
        <x:is>
          <x:t xml:space="preserve">constructed_boundary</x:t>
        </x:is>
      </x:c>
      <x:c r="O20" t="inlineStr">
        <x:is>
          <x:t xml:space="preserve">YES</x:t>
        </x:is>
      </x:c>
      <x:c r="P20" s="9" t="n">
        <x:v>0.6</x:v>
      </x:c>
      <x:c r="Q20" t="inlineStr">
        <x:is>
          <x:t xml:space="preserve">down</x:t>
        </x:is>
      </x:c>
      <x:c r="R20" s="9" t="n">
        <x:v>0</x:v>
      </x:c>
      <x:c r="S20" s="9" t="n">
        <x:v>1</x:v>
      </x:c>
      <x:c r="T20" t="inlineStr">
        <x:is>
          <x:t xml:space="preserve">Early outbreak context + later SDB performance papers</x:t>
        </x:is>
      </x:c>
      <x:c r="U20" t="inlineStr">
        <x:is>
          <x:t xml:space="preserve">constructed boundary with peer-reviewed support</x:t>
        </x:is>
      </x:c>
      <x:c r="V20" t="inlineStr">
        <x:is>
          <x:t xml:space="preserve">https://pmc.ncbi.nlm.nih.gov/articles/PMC10696665/</x:t>
        </x:is>
      </x:c>
      <x:c r="W20" t="inlineStr">
        <x:is>
          <x:t xml:space="preserve">https://www.thelancet.com/journals/langlo/article/PIIS2214-109X(25)00220-7/fulltext</x:t>
        </x:is>
      </x:c>
      <x:c r="X20" t="inlineStr">
        <x:is>
          <x:t xml:space="preserve">The outbreak had a dedicated SDB pillar, but insecurity and mistrust limited performance, especially early on.</x:t>
        </x:is>
      </x:c>
      <x:c r="Y20" t="inlineStr">
        <x:is>
          <x:t xml:space="preserve">Constructed early unsafe-funeral boundary chosen to be materially lower than West Africa day 0 but still substantial.</x:t>
        </x:is>
      </x:c>
    </x:row>
    <x:row r="21">
      <x:c r="A21" t="inlineStr">
        <x:is>
          <x:t xml:space="preserve">DRC_UFC_01</x:t>
        </x:is>
      </x:c>
      <x:c r="B21" t="inlineStr">
        <x:is>
          <x:t xml:space="preserve">p_unsafe_funeral_comm</x:t>
        </x:is>
      </x:c>
      <x:c r="C21" s="4" t="n">
        <x:v>273</x:v>
      </x:c>
      <x:c r="D21" s="5" t="n">
        <x:v>43586</x:v>
      </x:c>
      <x:c r="E21" t="inlineStr">
        <x:is>
          <x:t xml:space="preserve">DRC 2018-2019</x:t>
        </x:is>
      </x:c>
      <x:c r="F21" t="inlineStr">
        <x:is>
          <x:t xml:space="preserve">North Kivu / Ituri</x:t>
        </x:is>
      </x:c>
      <x:c r="G21" t="inlineStr">
        <x:is>
          <x:t xml:space="preserve">one_minus_ratio</x:t>
        </x:is>
      </x:c>
      <x:c r="H21" s="7" t="n"/>
      <x:c r="I21" s="6" t="n">
        <x:v>0.61</x:v>
      </x:c>
      <x:c r="J21" s="6" t="n">
        <x:v>1</x:v>
      </x:c>
      <x:c r="K21" s="8">
        <x:f>IF(G21="manual",H21,IF(G21="ratio",IFERROR(I21/J21,""),IF(G21="one_minus_ratio",IFERROR(1-(I21/J21),""),"")))</x:f>
        <x:v>0.39</x:v>
      </x:c>
      <x:c r="L21" t="inlineStr">
        <x:is>
          <x:t xml:space="preserve">proportion</x:t>
        </x:is>
      </x:c>
      <x:c r="M21" t="inlineStr">
        <x:is>
          <x:t xml:space="preserve">main_fit</x:t>
        </x:is>
      </x:c>
      <x:c r="N21" t="inlineStr">
        <x:is>
          <x:t xml:space="preserve">derived_direct</x:t>
        </x:is>
      </x:c>
      <x:c r="O21" t="inlineStr">
        <x:is>
          <x:t xml:space="preserve">YES</x:t>
        </x:is>
      </x:c>
      <x:c r="P21" s="9" t="n">
        <x:v>1</x:v>
      </x:c>
      <x:c r="Q21" t="inlineStr">
        <x:is>
          <x:t xml:space="preserve">down</x:t>
        </x:is>
      </x:c>
      <x:c r="R21" s="9" t="n">
        <x:v>0</x:v>
      </x:c>
      <x:c r="S21" s="9" t="n">
        <x:v>1</x:v>
      </x:c>
      <x:c r="T21" t="inlineStr">
        <x:is>
          <x:t xml:space="preserve">Warsame et al. 2023</x:t>
        </x:is>
      </x:c>
      <x:c r="U21" t="inlineStr">
        <x:is>
          <x:t xml:space="preserve">peer-reviewed burial intervention study</x:t>
        </x:is>
      </x:c>
      <x:c r="V21" t="inlineStr">
        <x:is>
          <x:t xml:space="preserve">https://pmc.ncbi.nlm.nih.gov/articles/PMC10696665/</x:t>
        </x:is>
      </x:c>
      <x:c r="X21" t="inlineStr">
        <x:is>
          <x:t xml:space="preserve">Overall SDB successfulness was 61% during the eastern DRC epidemic.</x:t>
        </x:is>
      </x:c>
      <x:c r="Y21" t="inlineStr">
        <x:is>
          <x:t xml:space="preserve">Unsafe funeral proxy derived as 1 - 0.61 = 0.39.</x:t>
        </x:is>
      </x:c>
    </x:row>
    <x:row r="22">
      <x:c r="A22" t="inlineStr">
        <x:is>
          <x:t xml:space="preserve">DRC_UFC_02</x:t>
        </x:is>
      </x:c>
      <x:c r="B22" t="inlineStr">
        <x:is>
          <x:t xml:space="preserve">p_unsafe_funeral_comm</x:t>
        </x:is>
      </x:c>
      <x:c r="C22" s="4" t="n">
        <x:v>333</x:v>
      </x:c>
      <x:c r="D22" s="5" t="n">
        <x:v>43646</x:v>
      </x:c>
      <x:c r="E22" t="inlineStr">
        <x:is>
          <x:t xml:space="preserve">DRC 2018-2019</x:t>
        </x:is>
      </x:c>
      <x:c r="F22" t="inlineStr">
        <x:is>
          <x:t xml:space="preserve">North Kivu / Ituri</x:t>
        </x:is>
      </x:c>
      <x:c r="G22" t="inlineStr">
        <x:is>
          <x:t xml:space="preserve">one_minus_ratio</x:t>
        </x:is>
      </x:c>
      <x:c r="H22" s="7" t="n"/>
      <x:c r="I22" s="6" t="n">
        <x:v>0.8</x:v>
      </x:c>
      <x:c r="J22" s="6" t="n">
        <x:v>1</x:v>
      </x:c>
      <x:c r="K22" s="8">
        <x:f>IF(G22="manual",H22,IF(G22="ratio",IFERROR(I22/J22,""),IF(G22="one_minus_ratio",IFERROR(1-(I22/J22),""),"")))</x:f>
        <x:v>0.19999999999999996</x:v>
      </x:c>
      <x:c r="L22" t="inlineStr">
        <x:is>
          <x:t xml:space="preserve">proportion</x:t>
        </x:is>
      </x:c>
      <x:c r="M22" t="inlineStr">
        <x:is>
          <x:t xml:space="preserve">main_fit</x:t>
        </x:is>
      </x:c>
      <x:c r="N22" t="inlineStr">
        <x:is>
          <x:t xml:space="preserve">derived_direct</x:t>
        </x:is>
      </x:c>
      <x:c r="O22" t="inlineStr">
        <x:is>
          <x:t xml:space="preserve">YES</x:t>
        </x:is>
      </x:c>
      <x:c r="P22" s="9" t="n">
        <x:v>1</x:v>
      </x:c>
      <x:c r="Q22" t="inlineStr">
        <x:is>
          <x:t xml:space="preserve">down</x:t>
        </x:is>
      </x:c>
      <x:c r="R22" s="9" t="n">
        <x:v>0</x:v>
      </x:c>
      <x:c r="S22" s="9" t="n">
        <x:v>1</x:v>
      </x:c>
      <x:c r="T22" t="inlineStr">
        <x:is>
          <x:t xml:space="preserve">WHO response to the 2018–2019 outbreak in DRC</x:t>
        </x:is>
      </x:c>
      <x:c r="U22" t="inlineStr">
        <x:is>
          <x:t xml:space="preserve">WHO response review</x:t>
        </x:is>
      </x:c>
      <x:c r="V22" t="inlineStr">
        <x:is>
          <x:t xml:space="preserve">https://www.who.int/docs/default-source/documents/emergencies/drc-ebola-response-srp-1-3-october2019.pdf</x:t>
        </x:is>
      </x:c>
      <x:c r="X22" t="inlineStr">
        <x:is>
          <x:t xml:space="preserve">WHO reported 7,681 community death alerts and 6,171 successful responses (about 80%).</x:t>
        </x:is>
      </x:c>
      <x:c r="Y22" t="inlineStr">
        <x:is>
          <x:t xml:space="preserve">Unsafe funeral proxy derived as 1 - 0.80 = 0.20.</x:t>
        </x:is>
      </x:c>
    </x:row>
    <x:row r="23">
      <x:c r="A23" t="inlineStr">
        <x:is>
          <x:t xml:space="preserve">DRC_UFC_03</x:t>
        </x:is>
      </x:c>
      <x:c r="B23" t="inlineStr">
        <x:is>
          <x:t xml:space="preserve">p_unsafe_funeral_comm</x:t>
        </x:is>
      </x:c>
      <x:c r="C23" s="4" t="n">
        <x:v>333</x:v>
      </x:c>
      <x:c r="D23" s="5" t="n">
        <x:v>43646</x:v>
      </x:c>
      <x:c r="E23" t="inlineStr">
        <x:is>
          <x:t xml:space="preserve">DRC 2018-2019</x:t>
        </x:is>
      </x:c>
      <x:c r="F23" t="inlineStr">
        <x:is>
          <x:t xml:space="preserve">North Kivu / Ituri</x:t>
        </x:is>
      </x:c>
      <x:c r="G23" t="inlineStr">
        <x:is>
          <x:t xml:space="preserve">manual</x:t>
        </x:is>
      </x:c>
      <x:c r="H23" s="6" t="n">
        <x:v>0.15</x:v>
      </x:c>
      <x:c r="I23" s="7" t="n"/>
      <x:c r="J23" s="7" t="n"/>
      <x:c r="K23" s="8">
        <x:f>IF(G23="manual",H23,IF(G23="ratio",IFERROR(I23/J23,""),IF(G23="one_minus_ratio",IFERROR(1-(I23/J23),""),"")))</x:f>
        <x:v>0.15</x:v>
      </x:c>
      <x:c r="L23" t="inlineStr">
        <x:is>
          <x:t xml:space="preserve">proportion</x:t>
        </x:is>
      </x:c>
      <x:c r="M23" t="inlineStr">
        <x:is>
          <x:t xml:space="preserve">shape_prior</x:t>
        </x:is>
      </x:c>
      <x:c r="N23" t="inlineStr">
        <x:is>
          <x:t xml:space="preserve">causal_effect_support</x:t>
        </x:is>
      </x:c>
      <x:c r="O23" t="inlineStr">
        <x:is>
          <x:t xml:space="preserve">YES</x:t>
        </x:is>
      </x:c>
      <x:c r="P23" s="9" t="n">
        <x:v>0.5</x:v>
      </x:c>
      <x:c r="Q23" t="inlineStr">
        <x:is>
          <x:t xml:space="preserve">down</x:t>
        </x:is>
      </x:c>
      <x:c r="R23" s="9" t="n">
        <x:v>0</x:v>
      </x:c>
      <x:c r="S23" s="9" t="n">
        <x:v>1</x:v>
      </x:c>
      <x:c r="T23" t="inlineStr">
        <x:is>
          <x:t xml:space="preserve">Checchi et al. 2025</x:t>
        </x:is>
      </x:c>
      <x:c r="U23" t="inlineStr">
        <x:is>
          <x:t xml:space="preserve">peer-reviewed propensity-score analysis</x:t>
        </x:is>
      </x:c>
      <x:c r="V23" t="inlineStr">
        <x:is>
          <x:t xml:space="preserve">https://www.thelancet.com/journals/langlo/article/PIIS2214-109X(25)00220-7/fulltext</x:t>
        </x:is>
      </x:c>
      <x:c r="X23" t="inlineStr">
        <x:is>
          <x:t xml:space="preserve">Checchi et al. show successful and timely SDB was associated with substantial reductions in transmission and that 50–70% successful SDB coverage could push transmission below extinction thresholds.</x:t>
        </x:is>
      </x:c>
      <x:c r="Y23" t="inlineStr">
        <x:is>
          <x:t xml:space="preserve">Lower late-response shape prior informed by the causal transmission impact paper.</x:t>
        </x:is>
      </x:c>
    </x:row>
    <x:row r="24">
      <x:c r="A24" t="inlineStr">
        <x:is>
          <x:t xml:space="preserve">DRC_UFH_01</x:t>
        </x:is>
      </x:c>
      <x:c r="B24" t="inlineStr">
        <x:is>
          <x:t xml:space="preserve">p_unsafe_funeral_hosp</x:t>
        </x:is>
      </x:c>
      <x:c r="C24" s="4" t="n">
        <x:v>0</x:v>
      </x:c>
      <x:c r="D24" s="5" t="n">
        <x:v>43313</x:v>
      </x:c>
      <x:c r="E24" t="inlineStr">
        <x:is>
          <x:t xml:space="preserve">DRC 2018-2019</x:t>
        </x:is>
      </x:c>
      <x:c r="F24" t="inlineStr">
        <x:is>
          <x:t xml:space="preserve">North Kivu / Ituri</x:t>
        </x:is>
      </x:c>
      <x:c r="G24" t="inlineStr">
        <x:is>
          <x:t xml:space="preserve">manual</x:t>
        </x:is>
      </x:c>
      <x:c r="H24" s="6" t="n">
        <x:v>0.01</x:v>
      </x:c>
      <x:c r="I24" s="7" t="n"/>
      <x:c r="J24" s="7" t="n"/>
      <x:c r="K24" s="8">
        <x:f>IF(G24="manual",H24,IF(G24="ratio",IFERROR(I24/J24,""),IF(G24="one_minus_ratio",IFERROR(1-(I24/J24),""),"")))</x:f>
        <x:v>0.01</x:v>
      </x:c>
      <x:c r="L24" t="inlineStr">
        <x:is>
          <x:t xml:space="preserve">proportion</x:t>
        </x:is>
      </x:c>
      <x:c r="M24" t="inlineStr">
        <x:is>
          <x:t xml:space="preserve">structural</x:t>
        </x:is>
      </x:c>
      <x:c r="N24" t="inlineStr">
        <x:is>
          <x:t xml:space="preserve">structural_assumption</x:t>
        </x:is>
      </x:c>
      <x:c r="O24" t="inlineStr">
        <x:is>
          <x:t xml:space="preserve">YES</x:t>
        </x:is>
      </x:c>
      <x:c r="P24" s="9" t="n">
        <x:v>0.35</x:v>
      </x:c>
      <x:c r="Q24" t="inlineStr">
        <x:is>
          <x:t xml:space="preserve">down</x:t>
        </x:is>
      </x:c>
      <x:c r="R24" s="9" t="n">
        <x:v>0</x:v>
      </x:c>
      <x:c r="S24" s="9" t="n">
        <x:v>0.03</x:v>
      </x:c>
      <x:c r="T24" t="inlineStr">
        <x:is>
          <x:t xml:space="preserve">WHO response plan 2018 + Warsame et al. 2023</x:t>
        </x:is>
      </x:c>
      <x:c r="U24" t="inlineStr">
        <x:is>
          <x:t xml:space="preserve">WHO response plan + peer-reviewed burial study</x:t>
        </x:is>
      </x:c>
      <x:c r="V24" t="inlineStr">
        <x:is>
          <x:t xml:space="preserve">https://www.who.int/docs/default-source/documents/spr-ebola-2019/srp1-drc-ebola-disease-outbreak-response-plan.pdf?sfvrsn=40799796_4</x:t>
        </x:is>
      </x:c>
      <x:c r="W24" t="inlineStr">
        <x:is>
          <x:t xml:space="preserve">https://pmc.ncbi.nlm.nih.gov/articles/PMC10696665/</x:t>
        </x:is>
      </x:c>
      <x:c r="X24" t="inlineStr">
        <x:is>
          <x:t xml:space="preserve">The response included organized burial teams and formal ETC pathways from the outset, so unsafe funerals after hospital death should be very low.</x:t>
        </x:is>
      </x:c>
      <x:c r="Y24" t="inlineStr">
        <x:is>
          <x:t xml:space="preserve">Small early structural value for numerical stability.</x:t>
        </x:is>
      </x:c>
    </x:row>
    <x:row r="25">
      <x:c r="A25" t="inlineStr">
        <x:is>
          <x:t xml:space="preserve">DRC_UFH_02</x:t>
        </x:is>
      </x:c>
      <x:c r="B25" t="inlineStr">
        <x:is>
          <x:t xml:space="preserve">p_unsafe_funeral_hosp</x:t>
        </x:is>
      </x:c>
      <x:c r="C25" s="4" t="n">
        <x:v>333</x:v>
      </x:c>
      <x:c r="D25" s="5" t="n">
        <x:v>43646</x:v>
      </x:c>
      <x:c r="E25" t="inlineStr">
        <x:is>
          <x:t xml:space="preserve">DRC 2018-2019</x:t>
        </x:is>
      </x:c>
      <x:c r="F25" t="inlineStr">
        <x:is>
          <x:t xml:space="preserve">North Kivu / Ituri</x:t>
        </x:is>
      </x:c>
      <x:c r="G25" t="inlineStr">
        <x:is>
          <x:t xml:space="preserve">manual</x:t>
        </x:is>
      </x:c>
      <x:c r="H25" s="6" t="n">
        <x:v>0</x:v>
      </x:c>
      <x:c r="I25" s="7" t="n"/>
      <x:c r="J25" s="7" t="n"/>
      <x:c r="K25" s="8">
        <x:f>IF(G25="manual",H25,IF(G25="ratio",IFERROR(I25/J25,""),IF(G25="one_minus_ratio",IFERROR(1-(I25/J25),""),"")))</x:f>
        <x:v>0</x:v>
      </x:c>
      <x:c r="L25" t="inlineStr">
        <x:is>
          <x:t xml:space="preserve">proportion</x:t>
        </x:is>
      </x:c>
      <x:c r="M25" t="inlineStr">
        <x:is>
          <x:t xml:space="preserve">structural</x:t>
        </x:is>
      </x:c>
      <x:c r="N25" t="inlineStr">
        <x:is>
          <x:t xml:space="preserve">structural_assumption</x:t>
        </x:is>
      </x:c>
      <x:c r="O25" t="inlineStr">
        <x:is>
          <x:t xml:space="preserve">YES</x:t>
        </x:is>
      </x:c>
      <x:c r="P25" s="9" t="n">
        <x:v>0.35</x:v>
      </x:c>
      <x:c r="Q25" t="inlineStr">
        <x:is>
          <x:t xml:space="preserve">down</x:t>
        </x:is>
      </x:c>
      <x:c r="R25" s="9" t="n">
        <x:v>0</x:v>
      </x:c>
      <x:c r="S25" s="9" t="n">
        <x:v>0.03</x:v>
      </x:c>
      <x:c r="T25" t="inlineStr">
        <x:is>
          <x:t xml:space="preserve">Warsame et al. 2023 + WHO response review</x:t>
        </x:is>
      </x:c>
      <x:c r="U25" t="inlineStr">
        <x:is>
          <x:t xml:space="preserve">peer-reviewed burial study + WHO review</x:t>
        </x:is>
      </x:c>
      <x:c r="V25" t="inlineStr">
        <x:is>
          <x:t xml:space="preserve">https://pmc.ncbi.nlm.nih.gov/articles/PMC10696665/</x:t>
        </x:is>
      </x:c>
      <x:c r="W25" t="inlineStr">
        <x:is>
          <x:t xml:space="preserve">https://www.who.int/docs/default-source/documents/emergencies/drc-ebola-response-srp-1-3-october2019.pdf</x:t>
        </x:is>
      </x:c>
      <x:c r="X25" t="inlineStr">
        <x:is>
          <x:t xml:space="preserve">By the mature phase of response, organized SDB and ETC systems make unsafe burial after hospital death effectively near-zero.</x:t>
        </x:is>
      </x:c>
      <x:c r="Y25" t="inlineStr">
        <x:is>
          <x:t xml:space="preserve">Late structural lower bound.</x:t>
        </x:is>
      </x:c>
    </x:row>
  </x:sheetData>
  <x:mergeCells>
    <x:mergeCell ref="A2:Y2"/>
    <x:mergeCell ref="A1:Y1"/>
  </x:mergeCells>
  <x:pageMargins left="0.7" right="0.7" top="0.75" bottom="0.75" header="0.3" footer="0.3"/>
  <x:tableParts count="1">
    <x:tablePart xmlns:r="http://schemas.openxmlformats.org/officeDocument/2006/relationships" r:id="Rc3ac92ad314b4ddf"/>
  </x:tableParts>
</x:worksheet>
</file>

<file path=xl/worksheets/sheet3.xml><?xml version="1.0" encoding="utf-8"?>
<x:worksheet xmlns:x="http://schemas.openxmlformats.org/spreadsheetml/2006/main">
  <x:sheetFormatPr baseColWidth="8" defaultRowHeight="15"/>
  <x:cols>
    <x:col min="1" max="1" width="14" customWidth="1"/>
    <x:col min="2" max="2" width="24" customWidth="1"/>
    <x:col min="3" max="3" width="12" customWidth="1"/>
    <x:col min="4" max="4" width="12" customWidth="1"/>
    <x:col min="5" max="5" width="22" customWidth="1"/>
    <x:col min="6" max="6" width="18" customWidth="1"/>
    <x:col min="7" max="7" width="16" customWidth="1"/>
    <x:col min="8" max="8" width="10" customWidth="1"/>
    <x:col min="9" max="9" width="10" customWidth="1"/>
    <x:col min="10" max="10" width="11" customWidth="1"/>
    <x:col min="11" max="11" width="10" customWidth="1"/>
    <x:col min="12" max="12" width="12" customWidth="1"/>
    <x:col min="13" max="13" width="12" customWidth="1"/>
    <x:col min="14" max="14" width="12" customWidth="1"/>
    <x:col min="15" max="15" width="12" customWidth="1"/>
    <x:col min="16" max="16" width="8" customWidth="1"/>
    <x:col min="17" max="17" width="10" customWidth="1"/>
    <x:col min="18" max="18" width="11" customWidth="1"/>
    <x:col min="19" max="19" width="11" customWidth="1"/>
    <x:col min="20" max="20" width="28" customWidth="1"/>
    <x:col min="21" max="21" width="14" customWidth="1"/>
    <x:col min="22" max="22" width="36" customWidth="1"/>
    <x:col min="23" max="23" width="30" customWidth="1"/>
    <x:col min="24" max="24" width="50" customWidth="1"/>
    <x:col min="25" max="25" width="45" customWidth="1"/>
  </x:cols>
  <x:sheetData>
    <x:row r="1" ht="22" customHeight="1">
      <x:c r="A1" s="10" t="inlineStr">
        <x:is>
          <x:t xml:space="preserve">Best Composite literature anchors</x:t>
        </x:is>
      </x:c>
    </x:row>
    <x:row r="2" ht="50" customHeight="1">
      <x:c r="A2" s="2" t="inlineStr">
        <x:is>
          <x:t xml:space="preserve">Systematic scenario-audit sheet for pooled filovirus NPI curves. Relative day is days since outbreak declaration/start for that scenario; Best_Composite uses outbreak-specific day 0 for each contributing outbreak; DRC analogue rows use response-day alignment rather than calendar distance. Rows marked include_in_fit=YES inform the pooled-Q fit; support_only rows are retained because they are materially relevant literature but were not used directly in the smooth fit. value_used is formula-driven from manual_value / numerator / denominator. Best_Composite clean curves are now generated with a scenario-specific recreate_pooled latent Q(t) (not a purely fitted pooled Q), because the literature anchors are already near ceiling early in the response and a constrained pooled fit flattened the curves. See Curve_Settings.</x:t>
        </x:is>
      </x:c>
    </x:row>
    <x:row r="3">
      <x:c r="A3" s="11" t="inlineStr">
        <x:is>
          <x:t xml:space="preserve">anchor_id</x:t>
        </x:is>
      </x:c>
      <x:c r="B3" s="11" t="inlineStr">
        <x:is>
          <x:t xml:space="preserve">parameter</x:t>
        </x:is>
      </x:c>
      <x:c r="C3" s="11" t="inlineStr">
        <x:is>
          <x:t xml:space="preserve">relative_day</x:t>
        </x:is>
      </x:c>
      <x:c r="D3" s="11" t="inlineStr">
        <x:is>
          <x:t xml:space="preserve">source_date</x:t>
        </x:is>
      </x:c>
      <x:c r="E3" s="11" t="inlineStr">
        <x:is>
          <x:t xml:space="preserve">outbreak_source</x:t>
        </x:is>
      </x:c>
      <x:c r="F3" s="11" t="inlineStr">
        <x:is>
          <x:t xml:space="preserve">location</x:t>
        </x:is>
      </x:c>
      <x:c r="G3" s="11" t="inlineStr">
        <x:is>
          <x:t xml:space="preserve">derivation_type</x:t>
        </x:is>
      </x:c>
      <x:c r="H3" s="11" t="inlineStr">
        <x:is>
          <x:t xml:space="preserve">manual_value</x:t>
        </x:is>
      </x:c>
      <x:c r="I3" s="11" t="inlineStr">
        <x:is>
          <x:t xml:space="preserve">numerator</x:t>
        </x:is>
      </x:c>
      <x:c r="J3" s="11" t="inlineStr">
        <x:is>
          <x:t xml:space="preserve">denominator</x:t>
        </x:is>
      </x:c>
      <x:c r="K3" s="11" t="inlineStr">
        <x:is>
          <x:t xml:space="preserve">value_used</x:t>
        </x:is>
      </x:c>
      <x:c r="L3" s="11" t="inlineStr">
        <x:is>
          <x:t xml:space="preserve">units</x:t>
        </x:is>
      </x:c>
      <x:c r="M3" s="11" t="inlineStr">
        <x:is>
          <x:t xml:space="preserve">fit_role</x:t>
        </x:is>
      </x:c>
      <x:c r="N3" s="11" t="inlineStr">
        <x:is>
          <x:t xml:space="preserve">evidence_tier</x:t>
        </x:is>
      </x:c>
      <x:c r="O3" s="11" t="inlineStr">
        <x:is>
          <x:t xml:space="preserve">include_in_fit</x:t>
        </x:is>
      </x:c>
      <x:c r="P3" s="11" t="inlineStr">
        <x:is>
          <x:t xml:space="preserve">weight</x:t>
        </x:is>
      </x:c>
      <x:c r="Q3" s="11" t="inlineStr">
        <x:is>
          <x:t xml:space="preserve">direction</x:t>
        </x:is>
      </x:c>
      <x:c r="R3" s="11" t="inlineStr">
        <x:is>
          <x:t xml:space="preserve">lower_bound</x:t>
        </x:is>
      </x:c>
      <x:c r="S3" s="11" t="inlineStr">
        <x:is>
          <x:t xml:space="preserve">upper_bound</x:t>
        </x:is>
      </x:c>
      <x:c r="T3" s="11" t="inlineStr">
        <x:is>
          <x:t xml:space="preserve">source_short</x:t>
        </x:is>
      </x:c>
      <x:c r="U3" s="11" t="inlineStr">
        <x:is>
          <x:t xml:space="preserve">source_type</x:t>
        </x:is>
      </x:c>
      <x:c r="V3" s="11" t="inlineStr">
        <x:is>
          <x:t xml:space="preserve">source_url</x:t>
        </x:is>
      </x:c>
      <x:c r="W3" s="11" t="inlineStr">
        <x:is>
          <x:t xml:space="preserve">supporting_url</x:t>
        </x:is>
      </x:c>
      <x:c r="X3" s="11" t="inlineStr">
        <x:is>
          <x:t xml:space="preserve">source_note</x:t>
        </x:is>
      </x:c>
      <x:c r="Y3" s="11" t="inlineStr">
        <x:is>
          <x:t xml:space="preserve">derivation_note</x:t>
        </x:is>
      </x:c>
    </x:row>
    <x:row r="4">
      <x:c r="A4" t="inlineStr">
        <x:is>
          <x:t xml:space="preserve">BEST_DH_00</x:t>
        </x:is>
      </x:c>
      <x:c r="B4" t="inlineStr">
        <x:is>
          <x:t xml:space="preserve">delay_hosp</x:t>
        </x:is>
      </x:c>
      <x:c r="C4" s="4" t="n">
        <x:v>0</x:v>
      </x:c>
      <x:c r="D4" s="5" t="n">
        <x:v>44241</x:v>
      </x:c>
      <x:c r="E4" t="inlineStr">
        <x:is>
          <x:t xml:space="preserve">Guinea_2021</x:t>
        </x:is>
      </x:c>
      <x:c r="F4" t="inlineStr">
        <x:is>
          <x:t xml:space="preserve">N’Zérékoré</x:t>
        </x:is>
      </x:c>
      <x:c r="G4" t="inlineStr">
        <x:is>
          <x:t xml:space="preserve">manual</x:t>
        </x:is>
      </x:c>
      <x:c r="H4" s="6" t="n">
        <x:v>3.5</x:v>
      </x:c>
      <x:c r="I4" s="7" t="n"/>
      <x:c r="J4" s="7" t="n"/>
      <x:c r="K4" s="8">
        <x:f>IF(G4="manual",H4,IF(G4="ratio",IFERROR(I4/J4,""),IF(G4="one_minus_ratio",IFERROR(1-(I4/J4),""),"")))</x:f>
        <x:v>3.5</x:v>
      </x:c>
      <x:c r="L4" t="inlineStr">
        <x:is>
          <x:t xml:space="preserve">days</x:t>
        </x:is>
      </x:c>
      <x:c r="M4" t="inlineStr">
        <x:is>
          <x:t xml:space="preserve">boundary_anchor</x:t>
        </x:is>
      </x:c>
      <x:c r="N4" t="inlineStr">
        <x:is>
          <x:t xml:space="preserve">constructed_boundary</x:t>
        </x:is>
      </x:c>
      <x:c r="O4" t="inlineStr">
        <x:is>
          <x:t xml:space="preserve">YES</x:t>
        </x:is>
      </x:c>
      <x:c r="P4" s="9" t="n">
        <x:v>0.6</x:v>
      </x:c>
      <x:c r="Q4" t="inlineStr">
        <x:is>
          <x:t xml:space="preserve">down</x:t>
        </x:is>
      </x:c>
      <x:c r="R4" s="9" t="n">
        <x:v>1.5</x:v>
      </x:c>
      <x:c r="S4" s="9" t="n">
        <x:v>6.5</x:v>
      </x:c>
      <x:c r="T4" t="inlineStr">
        <x:is>
          <x:t xml:space="preserve">Guinea 2021 / Uganda 2022 / Rwanda 2024 synthesis</x:t>
        </x:is>
      </x:c>
      <x:c r="U4" t="inlineStr">
        <x:is>
          <x:t xml:space="preserve">constructed boundary from multi-outbreak evidence</x:t>
        </x:is>
      </x:c>
      <x:c r="V4" t="inlineStr">
        <x:is>
          <x:t xml:space="preserve">https://www.who.int/emergencies/disease-outbreak-news/item/2021-DON328</x:t>
        </x:is>
      </x:c>
      <x:c r="W4" t="inlineStr">
        <x:is>
          <x:t xml:space="preserve">https://pmc.ncbi.nlm.nih.gov/articles/PMC11112911/</x:t>
        </x:is>
      </x:c>
      <x:c r="X4" t="inlineStr">
        <x:is>
          <x:t xml:space="preserve">The best-case scenario is intended to capture rapid modern response conditions from Guinea 2021, Uganda 2022, Rwanda 2024 and Tanzania 2023.</x:t>
        </x:is>
      </x:c>
      <x:c r="Y4" t="inlineStr">
        <x:is>
          <x:t xml:space="preserve">Constructed early boundary chosen to sit well below West Africa and DRC from the outset.</x:t>
        </x:is>
      </x:c>
    </x:row>
    <x:row r="5">
      <x:c r="A5" t="inlineStr">
        <x:is>
          <x:t xml:space="preserve">BEST_DH_03</x:t>
        </x:is>
      </x:c>
      <x:c r="B5" t="inlineStr">
        <x:is>
          <x:t xml:space="preserve">delay_hosp</x:t>
        </x:is>
      </x:c>
      <x:c r="C5" s="4" t="n">
        <x:v>10</x:v>
      </x:c>
      <x:c r="D5" s="5" t="n">
        <x:v>45572</x:v>
      </x:c>
      <x:c r="E5" t="inlineStr">
        <x:is>
          <x:t xml:space="preserve">Rwanda_MVD_2024</x:t>
        </x:is>
      </x:c>
      <x:c r="F5" t="inlineStr">
        <x:is>
          <x:t xml:space="preserve">Rwanda</x:t>
        </x:is>
      </x:c>
      <x:c r="G5" t="inlineStr">
        <x:is>
          <x:t xml:space="preserve">manual</x:t>
        </x:is>
      </x:c>
      <x:c r="H5" s="6" t="n">
        <x:v>2</x:v>
      </x:c>
      <x:c r="I5" s="7" t="n"/>
      <x:c r="J5" s="7" t="n"/>
      <x:c r="K5" s="8">
        <x:f>IF(G5="manual",H5,IF(G5="ratio",IFERROR(I5/J5,""),IF(G5="one_minus_ratio",IFERROR(1-(I5/J5),""),"")))</x:f>
        <x:v>2</x:v>
      </x:c>
      <x:c r="L5" t="inlineStr">
        <x:is>
          <x:t xml:space="preserve">days</x:t>
        </x:is>
      </x:c>
      <x:c r="M5" t="inlineStr">
        <x:is>
          <x:t xml:space="preserve">main_fit</x:t>
        </x:is>
      </x:c>
      <x:c r="N5" t="inlineStr">
        <x:is>
          <x:t xml:space="preserve">direct_observed</x:t>
        </x:is>
      </x:c>
      <x:c r="O5" t="inlineStr">
        <x:is>
          <x:t xml:space="preserve">YES</x:t>
        </x:is>
      </x:c>
      <x:c r="P5" s="9" t="n">
        <x:v>1</x:v>
      </x:c>
      <x:c r="Q5" t="inlineStr">
        <x:is>
          <x:t xml:space="preserve">down</x:t>
        </x:is>
      </x:c>
      <x:c r="R5" s="9" t="n">
        <x:v>1.5</x:v>
      </x:c>
      <x:c r="S5" s="9" t="n">
        <x:v>6.5</x:v>
      </x:c>
      <x:c r="T5" t="inlineStr">
        <x:is>
          <x:t xml:space="preserve">Nsanzimana et al. 2025</x:t>
        </x:is>
      </x:c>
      <x:c r="U5" t="inlineStr">
        <x:is>
          <x:t xml:space="preserve">peer-reviewed observational study</x:t>
        </x:is>
      </x:c>
      <x:c r="V5" t="inlineStr">
        <x:is>
          <x:t xml:space="preserve">https://pubmed.ncbi.nlm.nih.gov/40929633/</x:t>
        </x:is>
      </x:c>
      <x:c r="W5" t="inlineStr">
        <x:is>
          <x:t xml:space="preserve">https://pmc.ncbi.nlm.nih.gov/articles/PMC12093668/</x:t>
        </x:is>
      </x:c>
      <x:c r="X5" t="inlineStr">
        <x:is>
          <x:t xml:space="preserve">In Rwanda, symptom onset occurred a median of 2 days (IQR 1–3) before hospital admission.</x:t>
        </x:is>
      </x:c>
      <x:c r="Y5" t="inlineStr">
        <x:is>
          <x:t xml:space="preserve">Direct modern high-performance anchor.</x:t>
        </x:is>
      </x:c>
    </x:row>
    <x:row r="6">
      <x:c r="A6" t="inlineStr">
        <x:is>
          <x:t xml:space="preserve">BEST_DH_01</x:t>
        </x:is>
      </x:c>
      <x:c r="B6" t="inlineStr">
        <x:is>
          <x:t xml:space="preserve">delay_hosp</x:t>
        </x:is>
      </x:c>
      <x:c r="C6" s="4" t="n">
        <x:v>20</x:v>
      </x:c>
      <x:c r="D6" s="5" t="n">
        <x:v>44844</x:v>
      </x:c>
      <x:c r="E6" t="inlineStr">
        <x:is>
          <x:t xml:space="preserve">Uganda_SUDV_2022</x:t>
        </x:is>
      </x:c>
      <x:c r="F6" t="inlineStr">
        <x:is>
          <x:t xml:space="preserve">Uganda</x:t>
        </x:is>
      </x:c>
      <x:c r="G6" t="inlineStr">
        <x:is>
          <x:t xml:space="preserve">manual</x:t>
        </x:is>
      </x:c>
      <x:c r="H6" s="6" t="n">
        <x:v>3</x:v>
      </x:c>
      <x:c r="I6" s="7" t="n"/>
      <x:c r="J6" s="7" t="n"/>
      <x:c r="K6" s="8">
        <x:f>IF(G6="manual",H6,IF(G6="ratio",IFERROR(I6/J6,""),IF(G6="one_minus_ratio",IFERROR(1-(I6/J6),""),"")))</x:f>
        <x:v>3</x:v>
      </x:c>
      <x:c r="L6" t="inlineStr">
        <x:is>
          <x:t xml:space="preserve">days</x:t>
        </x:is>
      </x:c>
      <x:c r="M6" t="inlineStr">
        <x:is>
          <x:t xml:space="preserve">main_fit</x:t>
        </x:is>
      </x:c>
      <x:c r="N6" t="inlineStr">
        <x:is>
          <x:t xml:space="preserve">direct_observed</x:t>
        </x:is>
      </x:c>
      <x:c r="O6" t="inlineStr">
        <x:is>
          <x:t xml:space="preserve">YES</x:t>
        </x:is>
      </x:c>
      <x:c r="P6" s="9" t="n">
        <x:v>1</x:v>
      </x:c>
      <x:c r="Q6" t="inlineStr">
        <x:is>
          <x:t xml:space="preserve">down</x:t>
        </x:is>
      </x:c>
      <x:c r="R6" s="9" t="n">
        <x:v>1.5</x:v>
      </x:c>
      <x:c r="S6" s="9" t="n">
        <x:v>6.5</x:v>
      </x:c>
      <x:c r="T6" t="inlineStr">
        <x:is>
          <x:t xml:space="preserve">Komakech et al. 2024</x:t>
        </x:is>
      </x:c>
      <x:c r="U6" t="inlineStr">
        <x:is>
          <x:t xml:space="preserve">peer-reviewed outbreak analysis</x:t>
        </x:is>
      </x:c>
      <x:c r="V6" t="inlineStr">
        <x:is>
          <x:t xml:space="preserve">https://pmc.ncbi.nlm.nih.gov/articles/PMC11112911/</x:t>
        </x:is>
      </x:c>
      <x:c r="X6" t="inlineStr">
        <x:is>
          <x:t xml:space="preserve">Among 49 admitted secondary cases in the Uganda outbreak, the median time from onset to admission was 3 days (IQR 1–7).</x:t>
        </x:is>
      </x:c>
      <x:c r="Y6" t="inlineStr">
        <x:is>
          <x:t xml:space="preserve">Direct rapid-admission anchor from a modern SUDV response.</x:t>
        </x:is>
      </x:c>
    </x:row>
    <x:row r="7">
      <x:c r="A7" t="inlineStr">
        <x:is>
          <x:t xml:space="preserve">BEST_DH_02</x:t>
        </x:is>
      </x:c>
      <x:c r="B7" t="inlineStr">
        <x:is>
          <x:t xml:space="preserve">delay_hosp</x:t>
        </x:is>
      </x:c>
      <x:c r="C7" s="4" t="n">
        <x:v>20</x:v>
      </x:c>
      <x:c r="D7" s="5" t="n">
        <x:v>44844</x:v>
      </x:c>
      <x:c r="E7" t="inlineStr">
        <x:is>
          <x:t xml:space="preserve">Uganda_SUDV_2022</x:t>
        </x:is>
      </x:c>
      <x:c r="F7" t="inlineStr">
        <x:is>
          <x:t xml:space="preserve">Uganda</x:t>
        </x:is>
      </x:c>
      <x:c r="G7" t="inlineStr">
        <x:is>
          <x:t xml:space="preserve">manual</x:t>
        </x:is>
      </x:c>
      <x:c r="H7" s="6" t="n">
        <x:v>5</x:v>
      </x:c>
      <x:c r="I7" s="7" t="n"/>
      <x:c r="J7" s="7" t="n"/>
      <x:c r="K7" s="8">
        <x:f>IF(G7="manual",H7,IF(G7="ratio",IFERROR(I7/J7,""),IF(G7="one_minus_ratio",IFERROR(1-(I7/J7),""),"")))</x:f>
        <x:v>5</x:v>
      </x:c>
      <x:c r="L7" t="inlineStr">
        <x:is>
          <x:t xml:space="preserve">days</x:t>
        </x:is>
      </x:c>
      <x:c r="M7" t="inlineStr">
        <x:is>
          <x:t xml:space="preserve">support_only</x:t>
        </x:is>
      </x:c>
      <x:c r="N7" t="inlineStr">
        <x:is>
          <x:t xml:space="preserve">direct_observed</x:t>
        </x:is>
      </x:c>
      <x:c r="O7" t="inlineStr">
        <x:is>
          <x:t xml:space="preserve">NO</x:t>
        </x:is>
      </x:c>
      <x:c r="P7" s="9" t="n">
        <x:v>0</x:v>
      </x:c>
      <x:c r="Q7" t="inlineStr">
        <x:is>
          <x:t xml:space="preserve">down</x:t>
        </x:is>
      </x:c>
      <x:c r="R7" s="9" t="n">
        <x:v>1.5</x:v>
      </x:c>
      <x:c r="S7" s="9" t="n">
        <x:v>6.5</x:v>
      </x:c>
      <x:c r="T7" t="inlineStr">
        <x:is>
          <x:t xml:space="preserve">Komakech et al. 2024</x:t>
        </x:is>
      </x:c>
      <x:c r="U7" t="inlineStr">
        <x:is>
          <x:t xml:space="preserve">peer-reviewed outbreak analysis</x:t>
        </x:is>
      </x:c>
      <x:c r="V7" t="inlineStr">
        <x:is>
          <x:t xml:space="preserve">https://pmc.ncbi.nlm.nih.gov/articles/PMC11112911/</x:t>
        </x:is>
      </x:c>
      <x:c r="X7" t="inlineStr">
        <x:is>
          <x:t xml:space="preserve">The overall median time to isolation for all Uganda outbreak cases was 5 days (IQR 3–8).</x:t>
        </x:is>
      </x:c>
      <x:c r="Y7" t="inlineStr">
        <x:is>
          <x:t xml:space="preserve">Retained on-sheet because it is directly relevant and should not be omitted, but not used in the best-case pooled fit because the scenario is explicitly defined as a higher-performance composite.</x:t>
        </x:is>
      </x:c>
    </x:row>
    <x:row r="8">
      <x:c r="A8" t="inlineStr">
        <x:is>
          <x:t xml:space="preserve">BEST_PH_01</x:t>
        </x:is>
      </x:c>
      <x:c r="B8" t="inlineStr">
        <x:is>
          <x:t xml:space="preserve">p_hosp</x:t>
        </x:is>
      </x:c>
      <x:c r="C8" s="4" t="n">
        <x:v>30</x:v>
      </x:c>
      <x:c r="D8" s="5" t="n">
        <x:v>44366</x:v>
      </x:c>
      <x:c r="E8" t="inlineStr">
        <x:is>
          <x:t xml:space="preserve">Guinea_2021</x:t>
        </x:is>
      </x:c>
      <x:c r="F8" t="inlineStr">
        <x:is>
          <x:t xml:space="preserve">N’Zérékoré</x:t>
        </x:is>
      </x:c>
      <x:c r="G8" t="inlineStr">
        <x:is>
          <x:t xml:space="preserve">ratio</x:t>
        </x:is>
      </x:c>
      <x:c r="H8" s="7" t="n"/>
      <x:c r="I8" s="6" t="n">
        <x:v>15</x:v>
      </x:c>
      <x:c r="J8" s="6" t="n">
        <x:v>23</x:v>
      </x:c>
      <x:c r="K8" s="8">
        <x:f>IF(G8="manual",H8,IF(G8="ratio",IFERROR(I8/J8,""),IF(G8="one_minus_ratio",IFERROR(1-(I8/J8),""),"")))</x:f>
        <x:v>0.6521739130434783</x:v>
      </x:c>
      <x:c r="L8" t="inlineStr">
        <x:is>
          <x:t xml:space="preserve">proportion</x:t>
        </x:is>
      </x:c>
      <x:c r="M8" t="inlineStr">
        <x:is>
          <x:t xml:space="preserve">main_fit</x:t>
        </x:is>
      </x:c>
      <x:c r="N8" t="inlineStr">
        <x:is>
          <x:t xml:space="preserve">derived_direct</x:t>
        </x:is>
      </x:c>
      <x:c r="O8" t="inlineStr">
        <x:is>
          <x:t xml:space="preserve">YES</x:t>
        </x:is>
      </x:c>
      <x:c r="P8" s="9" t="n">
        <x:v>1</x:v>
      </x:c>
      <x:c r="Q8" t="inlineStr">
        <x:is>
          <x:t xml:space="preserve">up</x:t>
        </x:is>
      </x:c>
      <x:c r="R8" s="9" t="n">
        <x:v>0.3</x:v>
      </x:c>
      <x:c r="S8" s="9" t="n">
        <x:v>0.95</x:v>
      </x:c>
      <x:c r="T8" t="inlineStr">
        <x:is>
          <x:t xml:space="preserve">WHO DON328 (Guinea 2021)</x:t>
        </x:is>
      </x:c>
      <x:c r="U8" t="inlineStr">
        <x:is>
          <x:t xml:space="preserve">WHO disease outbreak news</x:t>
        </x:is>
      </x:c>
      <x:c r="V8" t="inlineStr">
        <x:is>
          <x:t xml:space="preserve">https://www.who.int/emergencies/disease-outbreak-news/item/2021-DON328</x:t>
        </x:is>
      </x:c>
      <x:c r="X8" t="inlineStr">
        <x:is>
          <x:t xml:space="preserve">WHO reported 15 patients admitted to CTEpi during an outbreak of 23 confirmed and probable cases.</x:t>
        </x:is>
      </x:c>
      <x:c r="Y8" t="inlineStr">
        <x:is>
          <x:t xml:space="preserve">Derived as 15/23 = 0.652 as a conservative direct formal-care proportion.</x:t>
        </x:is>
      </x:c>
    </x:row>
    <x:row r="9">
      <x:c r="A9" t="inlineStr">
        <x:is>
          <x:t xml:space="preserve">BEST_PH_03</x:t>
        </x:is>
      </x:c>
      <x:c r="B9" t="inlineStr">
        <x:is>
          <x:t xml:space="preserve">p_hosp</x:t>
        </x:is>
      </x:c>
      <x:c r="C9" s="4" t="n">
        <x:v>34</x:v>
      </x:c>
      <x:c r="D9" s="5" t="n">
        <x:v>45596</x:v>
      </x:c>
      <x:c r="E9" t="inlineStr">
        <x:is>
          <x:t xml:space="preserve">Rwanda_MVD_2024</x:t>
        </x:is>
      </x:c>
      <x:c r="F9" t="inlineStr">
        <x:is>
          <x:t xml:space="preserve">Rwanda</x:t>
        </x:is>
      </x:c>
      <x:c r="G9" t="inlineStr">
        <x:is>
          <x:t xml:space="preserve">manual</x:t>
        </x:is>
      </x:c>
      <x:c r="H9" s="6" t="n">
        <x:v>0.93</x:v>
      </x:c>
      <x:c r="I9" s="7" t="n"/>
      <x:c r="J9" s="7" t="n"/>
      <x:c r="K9" s="8">
        <x:f>IF(G9="manual",H9,IF(G9="ratio",IFERROR(I9/J9,""),IF(G9="one_minus_ratio",IFERROR(1-(I9/J9),""),"")))</x:f>
        <x:v>0.93</x:v>
      </x:c>
      <x:c r="L9" t="inlineStr">
        <x:is>
          <x:t xml:space="preserve">proportion</x:t>
        </x:is>
      </x:c>
      <x:c r="M9" t="inlineStr">
        <x:is>
          <x:t xml:space="preserve">main_fit</x:t>
        </x:is>
      </x:c>
      <x:c r="N9" t="inlineStr">
        <x:is>
          <x:t xml:space="preserve">constructed_from_direct_observed_context</x:t>
        </x:is>
      </x:c>
      <x:c r="O9" t="inlineStr">
        <x:is>
          <x:t xml:space="preserve">YES</x:t>
        </x:is>
      </x:c>
      <x:c r="P9" s="9" t="n">
        <x:v>1</x:v>
      </x:c>
      <x:c r="Q9" t="inlineStr">
        <x:is>
          <x:t xml:space="preserve">up</x:t>
        </x:is>
      </x:c>
      <x:c r="R9" s="9" t="n">
        <x:v>0.3</x:v>
      </x:c>
      <x:c r="S9" s="9" t="n">
        <x:v>0.95</x:v>
      </x:c>
      <x:c r="T9" t="inlineStr">
        <x:is>
          <x:t xml:space="preserve">Nsanzimana et al. 2025 + WHO DON543</x:t>
        </x:is>
      </x:c>
      <x:c r="U9" t="inlineStr">
        <x:is>
          <x:t xml:space="preserve">peer-reviewed study + WHO DON</x:t>
        </x:is>
      </x:c>
      <x:c r="V9" t="inlineStr">
        <x:is>
          <x:t xml:space="preserve">https://pubmed.ncbi.nlm.nih.gov/40929633/</x:t>
        </x:is>
      </x:c>
      <x:c r="W9" t="inlineStr">
        <x:is>
          <x:t xml:space="preserve">https://www.who.int/emergencies/disease-outbreak-news/item/2024-DON543</x:t>
        </x:is>
      </x:c>
      <x:c r="X9" t="inlineStr">
        <x:is>
          <x:t xml:space="preserve">Rwanda combined very short onset-to-admission times with centralized treatment and rapid case isolation.</x:t>
        </x:is>
      </x:c>
      <x:c r="Y9" t="inlineStr">
        <x:is>
          <x:t xml:space="preserve">Constructed late high-performance hospitalization probability anchor.</x:t>
        </x:is>
      </x:c>
    </x:row>
    <x:row r="10">
      <x:c r="A10" t="inlineStr">
        <x:is>
          <x:t xml:space="preserve">BEST_PH_02</x:t>
        </x:is>
      </x:c>
      <x:c r="B10" t="inlineStr">
        <x:is>
          <x:t xml:space="preserve">p_hosp</x:t>
        </x:is>
      </x:c>
      <x:c r="C10" s="4" t="n">
        <x:v>60</x:v>
      </x:c>
      <x:c r="D10" s="5" t="n">
        <x:v>44900</x:v>
      </x:c>
      <x:c r="E10" t="inlineStr">
        <x:is>
          <x:t xml:space="preserve">Uganda_SUDV_2022</x:t>
        </x:is>
      </x:c>
      <x:c r="F10" t="inlineStr">
        <x:is>
          <x:t xml:space="preserve">Uganda</x:t>
        </x:is>
      </x:c>
      <x:c r="G10" t="inlineStr">
        <x:is>
          <x:t xml:space="preserve">manual</x:t>
        </x:is>
      </x:c>
      <x:c r="H10" s="6" t="n">
        <x:v>0.85</x:v>
      </x:c>
      <x:c r="I10" s="7" t="n"/>
      <x:c r="J10" s="7" t="n"/>
      <x:c r="K10" s="8">
        <x:f>IF(G10="manual",H10,IF(G10="ratio",IFERROR(I10/J10,""),IF(G10="one_minus_ratio",IFERROR(1-(I10/J10),""),"")))</x:f>
        <x:v>0.85</x:v>
      </x:c>
      <x:c r="L10" t="inlineStr">
        <x:is>
          <x:t xml:space="preserve">proportion</x:t>
        </x:is>
      </x:c>
      <x:c r="M10" t="inlineStr">
        <x:is>
          <x:t xml:space="preserve">secondary_fit</x:t>
        </x:is>
      </x:c>
      <x:c r="N10" t="inlineStr">
        <x:is>
          <x:t xml:space="preserve">constructed_from_operational_scale_up</x:t>
        </x:is>
      </x:c>
      <x:c r="O10" t="inlineStr">
        <x:is>
          <x:t xml:space="preserve">YES</x:t>
        </x:is>
      </x:c>
      <x:c r="P10" s="9" t="n">
        <x:v>0.75</x:v>
      </x:c>
      <x:c r="Q10" t="inlineStr">
        <x:is>
          <x:t xml:space="preserve">up</x:t>
        </x:is>
      </x:c>
      <x:c r="R10" s="9" t="n">
        <x:v>0.3</x:v>
      </x:c>
      <x:c r="S10" s="9" t="n">
        <x:v>0.95</x:v>
      </x:c>
      <x:c r="T10" t="inlineStr">
        <x:is>
          <x:t xml:space="preserve">Africa CDC Final Uganda Brief</x:t>
        </x:is>
      </x:c>
      <x:c r="U10" t="inlineStr">
        <x:is>
          <x:t xml:space="preserve">Africa CDC operational brief</x:t>
        </x:is>
      </x:c>
      <x:c r="V10" t="inlineStr">
        <x:is>
          <x:t xml:space="preserve">https://africacdc.org/wp-content/uploads/2023/02/AfricaCDC_Uganda-Final-Ebola-Outbreak-Brief-16_-13Jan23.pdf</x:t>
        </x:is>
      </x:c>
      <x:c r="X10" t="inlineStr">
        <x:is>
          <x:t xml:space="preserve">Uganda set up onsite testing with six-hour turnaround, constructed 353 treatment-unit beds, and deployed large-scale response capacity.</x:t>
        </x:is>
      </x:c>
      <x:c r="Y10" t="inlineStr">
        <x:is>
          <x:t xml:space="preserve">Constructed high formal-care anchor supported by the scale and speed of treatment-unit deployment.</x:t>
        </x:is>
      </x:c>
    </x:row>
    <x:row r="11">
      <x:c r="A11" t="inlineStr">
        <x:is>
          <x:t xml:space="preserve">BEST_ETU_04</x:t>
        </x:is>
      </x:c>
      <x:c r="B11" t="inlineStr">
        <x:is>
          <x:t xml:space="preserve">p_ETU</x:t>
        </x:is>
      </x:c>
      <x:c r="C11" s="4" t="n">
        <x:v>10</x:v>
      </x:c>
      <x:c r="D11" s="5" t="n">
        <x:v>45572</x:v>
      </x:c>
      <x:c r="E11" t="inlineStr">
        <x:is>
          <x:t xml:space="preserve">Rwanda_MVD_2024</x:t>
        </x:is>
      </x:c>
      <x:c r="F11" t="inlineStr">
        <x:is>
          <x:t xml:space="preserve">Rwanda</x:t>
        </x:is>
      </x:c>
      <x:c r="G11" t="inlineStr">
        <x:is>
          <x:t xml:space="preserve">manual</x:t>
        </x:is>
      </x:c>
      <x:c r="H11" s="6" t="n">
        <x:v>0.88</x:v>
      </x:c>
      <x:c r="I11" s="7" t="n"/>
      <x:c r="J11" s="7" t="n"/>
      <x:c r="K11" s="8">
        <x:f>IF(G11="manual",H11,IF(G11="ratio",IFERROR(I11/J11,""),IF(G11="one_minus_ratio",IFERROR(1-(I11/J11),""),"")))</x:f>
        <x:v>0.88</x:v>
      </x:c>
      <x:c r="L11" t="inlineStr">
        <x:is>
          <x:t xml:space="preserve">proportion</x:t>
        </x:is>
      </x:c>
      <x:c r="M11" t="inlineStr">
        <x:is>
          <x:t xml:space="preserve">main_fit</x:t>
        </x:is>
      </x:c>
      <x:c r="N11" t="inlineStr">
        <x:is>
          <x:t xml:space="preserve">constructed_from_response_structure</x:t>
        </x:is>
      </x:c>
      <x:c r="O11" t="inlineStr">
        <x:is>
          <x:t xml:space="preserve">YES</x:t>
        </x:is>
      </x:c>
      <x:c r="P11" s="9" t="n">
        <x:v>1</x:v>
      </x:c>
      <x:c r="Q11" t="inlineStr">
        <x:is>
          <x:t xml:space="preserve">up</x:t>
        </x:is>
      </x:c>
      <x:c r="R11" s="9" t="n">
        <x:v>0</x:v>
      </x:c>
      <x:c r="S11" s="9" t="n">
        <x:v>0.9</x:v>
      </x:c>
      <x:c r="T11" t="inlineStr">
        <x:is>
          <x:t xml:space="preserve">Rwanda Marburg response updates</x:t>
        </x:is>
      </x:c>
      <x:c r="U11" t="inlineStr">
        <x:is>
          <x:t xml:space="preserve">WHO operational update + observational study</x:t>
        </x:is>
      </x:c>
      <x:c r="V11" t="inlineStr">
        <x:is>
          <x:t xml:space="preserve">https://www.afro.who.int/sites/default/files/2024-10/Weekly_Operational_Update_on_Response_to_Marburg_Virus_Disease_in_Rwanda.pdf</x:t>
        </x:is>
      </x:c>
      <x:c r="W11" t="inlineStr">
        <x:is>
          <x:t xml:space="preserve">https://pubmed.ncbi.nlm.nih.gov/40929633/</x:t>
        </x:is>
      </x:c>
      <x:c r="X11" t="inlineStr">
        <x:is>
          <x:t xml:space="preserve">Rwanda rapidly established a national treatment unit and centralized clinical management.</x:t>
        </x:is>
      </x:c>
      <x:c r="Y11" t="inlineStr">
        <x:is>
          <x:t xml:space="preserve">Constructed late dedicated-care share anchor.</x:t>
        </x:is>
      </x:c>
    </x:row>
    <x:row r="12">
      <x:c r="A12" t="inlineStr">
        <x:is>
          <x:t xml:space="preserve">BEST_ETU_01</x:t>
        </x:is>
      </x:c>
      <x:c r="B12" t="inlineStr">
        <x:is>
          <x:t xml:space="preserve">p_ETU</x:t>
        </x:is>
      </x:c>
      <x:c r="C12" s="4" t="n">
        <x:v>30</x:v>
      </x:c>
      <x:c r="D12" s="5" t="n">
        <x:v>44366</x:v>
      </x:c>
      <x:c r="E12" t="inlineStr">
        <x:is>
          <x:t xml:space="preserve">Guinea_2021</x:t>
        </x:is>
      </x:c>
      <x:c r="F12" t="inlineStr">
        <x:is>
          <x:t xml:space="preserve">N’Zérékoré</x:t>
        </x:is>
      </x:c>
      <x:c r="G12" t="inlineStr">
        <x:is>
          <x:t xml:space="preserve">ratio</x:t>
        </x:is>
      </x:c>
      <x:c r="H12" s="7" t="n"/>
      <x:c r="I12" s="6" t="n">
        <x:v>15</x:v>
      </x:c>
      <x:c r="J12" s="6" t="n">
        <x:v>23</x:v>
      </x:c>
      <x:c r="K12" s="8">
        <x:f>IF(G12="manual",H12,IF(G12="ratio",IFERROR(I12/J12,""),IF(G12="one_minus_ratio",IFERROR(1-(I12/J12),""),"")))</x:f>
        <x:v>0.6521739130434783</x:v>
      </x:c>
      <x:c r="L12" t="inlineStr">
        <x:is>
          <x:t xml:space="preserve">proportion</x:t>
        </x:is>
      </x:c>
      <x:c r="M12" t="inlineStr">
        <x:is>
          <x:t xml:space="preserve">main_fit</x:t>
        </x:is>
      </x:c>
      <x:c r="N12" t="inlineStr">
        <x:is>
          <x:t xml:space="preserve">derived_direct</x:t>
        </x:is>
      </x:c>
      <x:c r="O12" t="inlineStr">
        <x:is>
          <x:t xml:space="preserve">YES</x:t>
        </x:is>
      </x:c>
      <x:c r="P12" s="9" t="n">
        <x:v>1</x:v>
      </x:c>
      <x:c r="Q12" t="inlineStr">
        <x:is>
          <x:t xml:space="preserve">up</x:t>
        </x:is>
      </x:c>
      <x:c r="R12" s="9" t="n">
        <x:v>0</x:v>
      </x:c>
      <x:c r="S12" s="9" t="n">
        <x:v>0.9</x:v>
      </x:c>
      <x:c r="T12" t="inlineStr">
        <x:is>
          <x:t xml:space="preserve">WHO DON328 (Guinea 2021)</x:t>
        </x:is>
      </x:c>
      <x:c r="U12" t="inlineStr">
        <x:is>
          <x:t xml:space="preserve">WHO disease outbreak news</x:t>
        </x:is>
      </x:c>
      <x:c r="V12" t="inlineStr">
        <x:is>
          <x:t xml:space="preserve">https://www.who.int/emergencies/disease-outbreak-news/item/2021-DON328</x:t>
        </x:is>
      </x:c>
      <x:c r="X12" t="inlineStr">
        <x:is>
          <x:t xml:space="preserve">WHO reported 15 patients admitted to CTEpi during the 2021 Guinea outbreak.</x:t>
        </x:is>
      </x:c>
      <x:c r="Y12" t="inlineStr">
        <x:is>
          <x:t xml:space="preserve">Used as a conservative direct ETC/CTEpi share anchor.</x:t>
        </x:is>
      </x:c>
    </x:row>
    <x:row r="13">
      <x:c r="A13" t="inlineStr">
        <x:is>
          <x:t xml:space="preserve">BEST_ETU_02</x:t>
        </x:is>
      </x:c>
      <x:c r="B13" t="inlineStr">
        <x:is>
          <x:t xml:space="preserve">p_ETU</x:t>
        </x:is>
      </x:c>
      <x:c r="C13" s="4" t="n">
        <x:v>40</x:v>
      </x:c>
      <x:c r="D13" s="5" t="n">
        <x:v>44317</x:v>
      </x:c>
      <x:c r="E13" t="inlineStr">
        <x:is>
          <x:t xml:space="preserve">Guinea_2021</x:t>
        </x:is>
      </x:c>
      <x:c r="F13" t="inlineStr">
        <x:is>
          <x:t xml:space="preserve">N’Zérékoré</x:t>
        </x:is>
      </x:c>
      <x:c r="G13" t="inlineStr">
        <x:is>
          <x:t xml:space="preserve">manual</x:t>
        </x:is>
      </x:c>
      <x:c r="H13" s="6" t="n">
        <x:v>0.75</x:v>
      </x:c>
      <x:c r="I13" s="7" t="n"/>
      <x:c r="J13" s="7" t="n"/>
      <x:c r="K13" s="8">
        <x:f>IF(G13="manual",H13,IF(G13="ratio",IFERROR(I13/J13,""),IF(G13="one_minus_ratio",IFERROR(1-(I13/J13),""),"")))</x:f>
        <x:v>0.75</x:v>
      </x:c>
      <x:c r="L13" t="inlineStr">
        <x:is>
          <x:t xml:space="preserve">proportion</x:t>
        </x:is>
      </x:c>
      <x:c r="M13" t="inlineStr">
        <x:is>
          <x:t xml:space="preserve">secondary_fit</x:t>
        </x:is>
      </x:c>
      <x:c r="N13" t="inlineStr">
        <x:is>
          <x:t xml:space="preserve">constructed_from_clinical_care_context</x:t>
        </x:is>
      </x:c>
      <x:c r="O13" t="inlineStr">
        <x:is>
          <x:t xml:space="preserve">YES</x:t>
        </x:is>
      </x:c>
      <x:c r="P13" s="9" t="n">
        <x:v>0.75</x:v>
      </x:c>
      <x:c r="Q13" t="inlineStr">
        <x:is>
          <x:t xml:space="preserve">up</x:t>
        </x:is>
      </x:c>
      <x:c r="R13" s="9" t="n">
        <x:v>0</x:v>
      </x:c>
      <x:c r="S13" s="9" t="n">
        <x:v>0.9</x:v>
      </x:c>
      <x:c r="T13" t="inlineStr">
        <x:is>
          <x:t xml:space="preserve">Pare et al. 2023</x:t>
        </x:is>
      </x:c>
      <x:c r="U13" t="inlineStr">
        <x:is>
          <x:t xml:space="preserve">peer-reviewed clinical care report</x:t>
        </x:is>
      </x:c>
      <x:c r="V13" t="inlineStr">
        <x:is>
          <x:t xml:space="preserve">https://pmc.ncbi.nlm.nih.gov/articles/PMC9900378/</x:t>
        </x:is>
      </x:c>
      <x:c r="X13" t="inlineStr">
        <x:is>
          <x:t xml:space="preserve">Clinical care was delivered through two ETCs with optimized supportive care during the outbreak.</x:t>
        </x:is>
      </x:c>
      <x:c r="Y13" t="inlineStr">
        <x:is>
          <x:t xml:space="preserve">Constructed ETC-centric care anchor supported by the clinical care paper.</x:t>
        </x:is>
      </x:c>
    </x:row>
    <x:row r="14">
      <x:c r="A14" t="inlineStr">
        <x:is>
          <x:t xml:space="preserve">BEST_ETU_03</x:t>
        </x:is>
      </x:c>
      <x:c r="B14" t="inlineStr">
        <x:is>
          <x:t xml:space="preserve">p_ETU</x:t>
        </x:is>
      </x:c>
      <x:c r="C14" s="4" t="n">
        <x:v>60</x:v>
      </x:c>
      <x:c r="D14" s="5" t="n">
        <x:v>44900</x:v>
      </x:c>
      <x:c r="E14" t="inlineStr">
        <x:is>
          <x:t xml:space="preserve">Uganda_SUDV_2022</x:t>
        </x:is>
      </x:c>
      <x:c r="F14" t="inlineStr">
        <x:is>
          <x:t xml:space="preserve">Uganda</x:t>
        </x:is>
      </x:c>
      <x:c r="G14" t="inlineStr">
        <x:is>
          <x:t xml:space="preserve">manual</x:t>
        </x:is>
      </x:c>
      <x:c r="H14" s="6" t="n">
        <x:v>0.8</x:v>
      </x:c>
      <x:c r="I14" s="7" t="n"/>
      <x:c r="J14" s="7" t="n"/>
      <x:c r="K14" s="8">
        <x:f>IF(G14="manual",H14,IF(G14="ratio",IFERROR(I14/J14,""),IF(G14="one_minus_ratio",IFERROR(1-(I14/J14),""),"")))</x:f>
        <x:v>0.8</x:v>
      </x:c>
      <x:c r="L14" t="inlineStr">
        <x:is>
          <x:t xml:space="preserve">proportion</x:t>
        </x:is>
      </x:c>
      <x:c r="M14" t="inlineStr">
        <x:is>
          <x:t xml:space="preserve">secondary_fit</x:t>
        </x:is>
      </x:c>
      <x:c r="N14" t="inlineStr">
        <x:is>
          <x:t xml:space="preserve">constructed_from_operational_scale_up</x:t>
        </x:is>
      </x:c>
      <x:c r="O14" t="inlineStr">
        <x:is>
          <x:t xml:space="preserve">YES</x:t>
        </x:is>
      </x:c>
      <x:c r="P14" s="9" t="n">
        <x:v>0.75</x:v>
      </x:c>
      <x:c r="Q14" t="inlineStr">
        <x:is>
          <x:t xml:space="preserve">up</x:t>
        </x:is>
      </x:c>
      <x:c r="R14" s="9" t="n">
        <x:v>0</x:v>
      </x:c>
      <x:c r="S14" s="9" t="n">
        <x:v>0.9</x:v>
      </x:c>
      <x:c r="T14" t="inlineStr">
        <x:is>
          <x:t xml:space="preserve">Africa CDC Final Uganda Brief</x:t>
        </x:is>
      </x:c>
      <x:c r="U14" t="inlineStr">
        <x:is>
          <x:t xml:space="preserve">Africa CDC operational brief</x:t>
        </x:is>
      </x:c>
      <x:c r="V14" t="inlineStr">
        <x:is>
          <x:t xml:space="preserve">https://africacdc.org/wp-content/uploads/2023/02/AfricaCDC_Uganda-Final-Ebola-Outbreak-Brief-16_-13Jan23.pdf</x:t>
        </x:is>
      </x:c>
      <x:c r="X14" t="inlineStr">
        <x:is>
          <x:t xml:space="preserve">Uganda constructed 353 bed capacity treatment units and expanded decentralised testing.</x:t>
        </x:is>
      </x:c>
      <x:c r="Y14" t="inlineStr">
        <x:is>
          <x:t xml:space="preserve">Constructed treatment-unit share anchor.</x:t>
        </x:is>
      </x:c>
    </x:row>
    <x:row r="15">
      <x:c r="A15" t="inlineStr">
        <x:is>
          <x:t xml:space="preserve">BEST_IPC_03</x:t>
        </x:is>
      </x:c>
      <x:c r="B15" t="inlineStr">
        <x:is>
          <x:t xml:space="preserve">latent_IPC</x:t>
        </x:is>
      </x:c>
      <x:c r="C15" s="4" t="n">
        <x:v>9</x:v>
      </x:c>
      <x:c r="D15" s="5" t="n">
        <x:v>45571</x:v>
      </x:c>
      <x:c r="E15" t="inlineStr">
        <x:is>
          <x:t xml:space="preserve">Rwanda_MVD_2024</x:t>
        </x:is>
      </x:c>
      <x:c r="F15" t="inlineStr">
        <x:is>
          <x:t xml:space="preserve">Kigali, Rwanda</x:t>
        </x:is>
      </x:c>
      <x:c r="G15" t="inlineStr">
        <x:is>
          <x:t xml:space="preserve">manual</x:t>
        </x:is>
      </x:c>
      <x:c r="H15" s="6" t="n">
        <x:v>0.85</x:v>
      </x:c>
      <x:c r="I15" s="7" t="n"/>
      <x:c r="J15" s="7" t="n"/>
      <x:c r="K15" s="8">
        <x:f>IF(G15="manual",H15,IF(G15="ratio",IFERROR(I15/J15,""),IF(G15="one_minus_ratio",IFERROR(1-(I15/J15),""),"")))</x:f>
        <x:v>0.85</x:v>
      </x:c>
      <x:c r="L15" t="inlineStr">
        <x:is>
          <x:t xml:space="preserve">index (0-1)</x:t>
        </x:is>
      </x:c>
      <x:c r="M15" t="inlineStr">
        <x:is>
          <x:t xml:space="preserve">main_fit</x:t>
        </x:is>
      </x:c>
      <x:c r="N15" t="inlineStr">
        <x:is>
          <x:t xml:space="preserve">constructed_from_direct_assessment</x:t>
        </x:is>
      </x:c>
      <x:c r="O15" t="inlineStr">
        <x:is>
          <x:t xml:space="preserve">YES</x:t>
        </x:is>
      </x:c>
      <x:c r="P15" s="9" t="n">
        <x:v>1</x:v>
      </x:c>
      <x:c r="Q15" t="inlineStr">
        <x:is>
          <x:t xml:space="preserve">up</x:t>
        </x:is>
      </x:c>
      <x:c r="R15" s="9" t="n">
        <x:v>0</x:v>
      </x:c>
      <x:c r="S15" s="9" t="n">
        <x:v>0.95</x:v>
      </x:c>
      <x:c r="T15" t="inlineStr">
        <x:is>
          <x:t xml:space="preserve">WHO Rwanda weekly operational update</x:t>
        </x:is>
      </x:c>
      <x:c r="U15" t="inlineStr">
        <x:is>
          <x:t xml:space="preserve">WHO operational update</x:t>
        </x:is>
      </x:c>
      <x:c r="V15" t="inlineStr">
        <x:is>
          <x:t xml:space="preserve">https://www.afro.who.int/sites/default/files/2024-10/Weekly_Operational_Update_on_Response_to_Marburg_Virus_Disease_in_Rwanda.pdf</x:t>
        </x:is>
      </x:c>
      <x:c r="W15" t="inlineStr">
        <x:is>
          <x:t xml:space="preserve">https://cdn.who.int/media/docs/default-source/crs-crr/whe-ipc-epi-win-hero_rwanda.pdf?sfvrsn=13821923_1</x:t>
        </x:is>
      </x:c>
      <x:c r="X15" t="inlineStr">
        <x:is>
          <x:t xml:space="preserve">WHO documented targeted IPC support, training for 139 staff at King Faisal Hospital, identification of priority establishments, and use of WHO IPC assessment tools.</x:t>
        </x:is>
      </x:c>
      <x:c r="Y15" t="inlineStr">
        <x:is>
          <x:t xml:space="preserve">Constructed late high latent-IPC anchor supported by direct assessment and training actions.</x:t>
        </x:is>
      </x:c>
    </x:row>
    <x:row r="16">
      <x:c r="A16" t="inlineStr">
        <x:is>
          <x:t xml:space="preserve">BEST_IPC_01</x:t>
        </x:is>
      </x:c>
      <x:c r="B16" t="inlineStr">
        <x:is>
          <x:t xml:space="preserve">latent_IPC</x:t>
        </x:is>
      </x:c>
      <x:c r="C16" s="4" t="n">
        <x:v>15</x:v>
      </x:c>
      <x:c r="D16" s="5" t="n">
        <x:v>44256</x:v>
      </x:c>
      <x:c r="E16" t="inlineStr">
        <x:is>
          <x:t xml:space="preserve">Guinea_2021</x:t>
        </x:is>
      </x:c>
      <x:c r="F16" t="inlineStr">
        <x:is>
          <x:t xml:space="preserve">N’Zérékoré</x:t>
        </x:is>
      </x:c>
      <x:c r="G16" t="inlineStr">
        <x:is>
          <x:t xml:space="preserve">manual</x:t>
        </x:is>
      </x:c>
      <x:c r="H16" s="6" t="n">
        <x:v>0.55</x:v>
      </x:c>
      <x:c r="I16" s="7" t="n"/>
      <x:c r="J16" s="7" t="n"/>
      <x:c r="K16" s="8">
        <x:f>IF(G16="manual",H16,IF(G16="ratio",IFERROR(I16/J16,""),IF(G16="one_minus_ratio",IFERROR(1-(I16/J16),""),"")))</x:f>
        <x:v>0.55</x:v>
      </x:c>
      <x:c r="L16" t="inlineStr">
        <x:is>
          <x:t xml:space="preserve">index (0-1)</x:t>
        </x:is>
      </x:c>
      <x:c r="M16" t="inlineStr">
        <x:is>
          <x:t xml:space="preserve">main_fit</x:t>
        </x:is>
      </x:c>
      <x:c r="N16" t="inlineStr">
        <x:is>
          <x:t xml:space="preserve">constructed_from_operational_readiness</x:t>
        </x:is>
      </x:c>
      <x:c r="O16" t="inlineStr">
        <x:is>
          <x:t xml:space="preserve">YES</x:t>
        </x:is>
      </x:c>
      <x:c r="P16" s="9" t="n">
        <x:v>1</x:v>
      </x:c>
      <x:c r="Q16" t="inlineStr">
        <x:is>
          <x:t xml:space="preserve">up</x:t>
        </x:is>
      </x:c>
      <x:c r="R16" s="9" t="n">
        <x:v>0</x:v>
      </x:c>
      <x:c r="S16" s="9" t="n">
        <x:v>0.95</x:v>
      </x:c>
      <x:c r="T16" t="inlineStr">
        <x:is>
          <x:t xml:space="preserve">WHO DON328 + Guinea 2021 clinical care literature</x:t>
        </x:is>
      </x:c>
      <x:c r="U16" t="inlineStr">
        <x:is>
          <x:t xml:space="preserve">WHO DON + peer-reviewed care report</x:t>
        </x:is>
      </x:c>
      <x:c r="V16" t="inlineStr">
        <x:is>
          <x:t xml:space="preserve">https://www.who.int/emergencies/disease-outbreak-news/item/2021-DON328</x:t>
        </x:is>
      </x:c>
      <x:c r="W16" t="inlineStr">
        <x:is>
          <x:t xml:space="preserve">https://pmc.ncbi.nlm.nih.gov/articles/PMC9900378/</x:t>
        </x:is>
      </x:c>
      <x:c r="X16" t="inlineStr">
        <x:is>
          <x:t xml:space="preserve">Guinea rapidly rehabilitated two CTEpi, assessed 123 priority facilities with an IPC scorecard, distributed IPC kits, and trained &gt;1700 workers.</x:t>
        </x:is>
      </x:c>
      <x:c r="Y16" t="inlineStr">
        <x:is>
          <x:t xml:space="preserve">Constructed early high IPC-readiness anchor.</x:t>
        </x:is>
      </x:c>
    </x:row>
    <x:row r="17">
      <x:c r="A17" t="inlineStr">
        <x:is>
          <x:t xml:space="preserve">BEST_IPC_02</x:t>
        </x:is>
      </x:c>
      <x:c r="B17" t="inlineStr">
        <x:is>
          <x:t xml:space="preserve">latent_IPC</x:t>
        </x:is>
      </x:c>
      <x:c r="C17" s="4" t="n">
        <x:v>25</x:v>
      </x:c>
      <x:c r="D17" s="5" t="n">
        <x:v>45031</x:v>
      </x:c>
      <x:c r="E17" t="inlineStr">
        <x:is>
          <x:t xml:space="preserve">Tanzania_MVD_2023</x:t>
        </x:is>
      </x:c>
      <x:c r="F17" t="inlineStr">
        <x:is>
          <x:t xml:space="preserve">Kagera, Tanzania</x:t>
        </x:is>
      </x:c>
      <x:c r="G17" t="inlineStr">
        <x:is>
          <x:t xml:space="preserve">manual</x:t>
        </x:is>
      </x:c>
      <x:c r="H17" s="6" t="n">
        <x:v>0.7</x:v>
      </x:c>
      <x:c r="I17" s="7" t="n"/>
      <x:c r="J17" s="7" t="n"/>
      <x:c r="K17" s="8">
        <x:f>IF(G17="manual",H17,IF(G17="ratio",IFERROR(I17/J17,""),IF(G17="one_minus_ratio",IFERROR(1-(I17/J17),""),"")))</x:f>
        <x:v>0.7</x:v>
      </x:c>
      <x:c r="L17" t="inlineStr">
        <x:is>
          <x:t xml:space="preserve">index (0-1)</x:t>
        </x:is>
      </x:c>
      <x:c r="M17" t="inlineStr">
        <x:is>
          <x:t xml:space="preserve">secondary_fit</x:t>
        </x:is>
      </x:c>
      <x:c r="N17" t="inlineStr">
        <x:is>
          <x:t xml:space="preserve">constructed_from_direct_assessment</x:t>
        </x:is>
      </x:c>
      <x:c r="O17" t="inlineStr">
        <x:is>
          <x:t xml:space="preserve">YES</x:t>
        </x:is>
      </x:c>
      <x:c r="P17" s="9" t="n">
        <x:v>0.75</x:v>
      </x:c>
      <x:c r="Q17" t="inlineStr">
        <x:is>
          <x:t xml:space="preserve">up</x:t>
        </x:is>
      </x:c>
      <x:c r="R17" s="9" t="n">
        <x:v>0</x:v>
      </x:c>
      <x:c r="S17" s="9" t="n">
        <x:v>0.95</x:v>
      </x:c>
      <x:c r="T17" t="inlineStr">
        <x:is>
          <x:t xml:space="preserve">Kinyenje et al. 2024 + Tanzania outbreak response report</x:t>
        </x:is>
      </x:c>
      <x:c r="U17" t="inlineStr">
        <x:is>
          <x:t xml:space="preserve">peer-reviewed review + WHO response report</x:t>
        </x:is>
      </x:c>
      <x:c r="V17" t="inlineStr">
        <x:is>
          <x:t xml:space="preserve">https://pmc.ncbi.nlm.nih.gov/articles/PMC11197355/</x:t>
        </x:is>
      </x:c>
      <x:c r="W17" t="inlineStr">
        <x:is>
          <x:t xml:space="preserve">https://www.afro.who.int/sites/default/files/2025-07/Response%20to%20Marburg%20Virus%20Disease%20Outbreak%20in%20Tanzania.pdf</x:t>
        </x:is>
      </x:c>
      <x:c r="X17" t="inlineStr">
        <x:is>
          <x:t xml:space="preserve">Tanzania entered the outbreak with sustained IPC capacity development, then assessed facilities, oriented staff, and supervised IPC/WASH improvements.</x:t>
        </x:is>
      </x:c>
      <x:c r="Y17" t="inlineStr">
        <x:is>
          <x:t xml:space="preserve">Constructed high IPC-readiness anchor for a relatively prepared health system.</x:t>
        </x:is>
      </x:c>
    </x:row>
    <x:row r="18">
      <x:c r="A18" t="inlineStr">
        <x:is>
          <x:t xml:space="preserve">BEST_UFC_02</x:t>
        </x:is>
      </x:c>
      <x:c r="B18" t="inlineStr">
        <x:is>
          <x:t xml:space="preserve">p_unsafe_funeral_comm</x:t>
        </x:is>
      </x:c>
      <x:c r="C18" s="4" t="n">
        <x:v>0</x:v>
      </x:c>
      <x:c r="D18" s="5" t="n">
        <x:v>44824</x:v>
      </x:c>
      <x:c r="E18" t="inlineStr">
        <x:is>
          <x:t xml:space="preserve">Uganda_SUDV_2022</x:t>
        </x:is>
      </x:c>
      <x:c r="F18" t="inlineStr">
        <x:is>
          <x:t xml:space="preserve">Uganda</x:t>
        </x:is>
      </x:c>
      <x:c r="G18" t="inlineStr">
        <x:is>
          <x:t xml:space="preserve">manual</x:t>
        </x:is>
      </x:c>
      <x:c r="H18" s="6" t="n">
        <x:v>0.05</x:v>
      </x:c>
      <x:c r="I18" s="7" t="n"/>
      <x:c r="J18" s="7" t="n"/>
      <x:c r="K18" s="8">
        <x:f>IF(G18="manual",H18,IF(G18="ratio",IFERROR(I18/J18,""),IF(G18="one_minus_ratio",IFERROR(1-(I18/J18),""),"")))</x:f>
        <x:v>0.05</x:v>
      </x:c>
      <x:c r="L18" t="inlineStr">
        <x:is>
          <x:t xml:space="preserve">proportion</x:t>
        </x:is>
      </x:c>
      <x:c r="M18" t="inlineStr">
        <x:is>
          <x:t xml:space="preserve">secondary_fit</x:t>
        </x:is>
      </x:c>
      <x:c r="N18" t="inlineStr">
        <x:is>
          <x:t xml:space="preserve">constructed_from_operational_response</x:t>
        </x:is>
      </x:c>
      <x:c r="O18" t="inlineStr">
        <x:is>
          <x:t xml:space="preserve">YES</x:t>
        </x:is>
      </x:c>
      <x:c r="P18" s="9" t="n">
        <x:v>0.75</x:v>
      </x:c>
      <x:c r="Q18" t="inlineStr">
        <x:is>
          <x:t xml:space="preserve">down</x:t>
        </x:is>
      </x:c>
      <x:c r="R18" s="9" t="n">
        <x:v>0</x:v>
      </x:c>
      <x:c r="S18" s="9" t="n">
        <x:v>1</x:v>
      </x:c>
      <x:c r="T18" t="inlineStr">
        <x:is>
          <x:t xml:space="preserve">WHO DON428 + Africa CDC Final Uganda Brief</x:t>
        </x:is>
      </x:c>
      <x:c r="U18" t="inlineStr">
        <x:is>
          <x:t xml:space="preserve">WHO DON + Africa CDC brief</x:t>
        </x:is>
      </x:c>
      <x:c r="V18" t="inlineStr">
        <x:is>
          <x:t xml:space="preserve">https://www.who.int/emergencies/disease-outbreak-news/item/2022-DON428</x:t>
        </x:is>
      </x:c>
      <x:c r="W18" t="inlineStr">
        <x:is>
          <x:t xml:space="preserve">https://africacdc.org/wp-content/uploads/2023/02/AfricaCDC_Uganda-Final-Ebola-Outbreak-Brief-16_-13Jan23.pdf</x:t>
        </x:is>
      </x:c>
      <x:c r="X18" t="inlineStr">
        <x:is>
          <x:t xml:space="preserve">Uganda buried the index patient under safe and dignified burial protocol and later reported hundreds of SDBs; community burials were formally taken over by trained teams.</x:t>
        </x:is>
      </x:c>
      <x:c r="Y18" t="inlineStr">
        <x:is>
          <x:t xml:space="preserve">Constructed low unsafe-funeral anchor consistent with strong SDB implementation.</x:t>
        </x:is>
      </x:c>
    </x:row>
    <x:row r="19">
      <x:c r="A19" t="inlineStr">
        <x:is>
          <x:t xml:space="preserve">BEST_UFC_03</x:t>
        </x:is>
      </x:c>
      <x:c r="B19" t="inlineStr">
        <x:is>
          <x:t xml:space="preserve">p_unsafe_funeral_comm</x:t>
        </x:is>
      </x:c>
      <x:c r="C19" s="4" t="n">
        <x:v>11</x:v>
      </x:c>
      <x:c r="D19" s="5" t="n">
        <x:v>45017</x:v>
      </x:c>
      <x:c r="E19" t="inlineStr">
        <x:is>
          <x:t xml:space="preserve">Tanzania_MVD_2023</x:t>
        </x:is>
      </x:c>
      <x:c r="F19" t="inlineStr">
        <x:is>
          <x:t xml:space="preserve">Kagera, Tanzania</x:t>
        </x:is>
      </x:c>
      <x:c r="G19" t="inlineStr">
        <x:is>
          <x:t xml:space="preserve">manual</x:t>
        </x:is>
      </x:c>
      <x:c r="H19" s="6" t="n">
        <x:v>0</x:v>
      </x:c>
      <x:c r="I19" s="7" t="n"/>
      <x:c r="J19" s="7" t="n"/>
      <x:c r="K19" s="8">
        <x:f>IF(G19="manual",H19,IF(G19="ratio",IFERROR(I19/J19,""),IF(G19="one_minus_ratio",IFERROR(1-(I19/J19),""),"")))</x:f>
        <x:v>0</x:v>
      </x:c>
      <x:c r="L19" t="inlineStr">
        <x:is>
          <x:t xml:space="preserve">proportion</x:t>
        </x:is>
      </x:c>
      <x:c r="M19" t="inlineStr">
        <x:is>
          <x:t xml:space="preserve">main_fit</x:t>
        </x:is>
      </x:c>
      <x:c r="N19" t="inlineStr">
        <x:is>
          <x:t xml:space="preserve">direct_operational_report</x:t>
        </x:is>
      </x:c>
      <x:c r="O19" t="inlineStr">
        <x:is>
          <x:t xml:space="preserve">YES</x:t>
        </x:is>
      </x:c>
      <x:c r="P19" s="9" t="n">
        <x:v>1</x:v>
      </x:c>
      <x:c r="Q19" t="inlineStr">
        <x:is>
          <x:t xml:space="preserve">down</x:t>
        </x:is>
      </x:c>
      <x:c r="R19" s="9" t="n">
        <x:v>0</x:v>
      </x:c>
      <x:c r="S19" s="9" t="n">
        <x:v>1</x:v>
      </x:c>
      <x:c r="T19" t="inlineStr">
        <x:is>
          <x:t xml:space="preserve">Tanzania Marburg response report</x:t>
        </x:is>
      </x:c>
      <x:c r="U19" t="inlineStr">
        <x:is>
          <x:t xml:space="preserve">WHO/Afro response report</x:t>
        </x:is>
      </x:c>
      <x:c r="V19" t="inlineStr">
        <x:is>
          <x:t xml:space="preserve">https://www.afro.who.int/sites/default/files/2025-07/Response%20to%20Marburg%20Virus%20Disease%20Outbreak%20in%20Tanzania.pdf</x:t>
        </x:is>
      </x:c>
      <x:c r="X19" t="inlineStr">
        <x:is>
          <x:t xml:space="preserve">The response report states that all burial activities were supervised and that safe and dignified burial was provided for seven suspected and two confirmed cases.</x:t>
        </x:is>
      </x:c>
      <x:c r="Y19" t="inlineStr">
        <x:is>
          <x:t xml:space="preserve">Used as a near-zero late best-case anchor.</x:t>
        </x:is>
      </x:c>
    </x:row>
    <x:row r="20">
      <x:c r="A20" t="inlineStr">
        <x:is>
          <x:t xml:space="preserve">BEST_UFC_01</x:t>
        </x:is>
      </x:c>
      <x:c r="B20" t="inlineStr">
        <x:is>
          <x:t xml:space="preserve">p_unsafe_funeral_comm</x:t>
        </x:is>
      </x:c>
      <x:c r="C20" s="4" t="n">
        <x:v>33</x:v>
      </x:c>
      <x:c r="D20" s="5" t="n">
        <x:v>44274</x:v>
      </x:c>
      <x:c r="E20" t="inlineStr">
        <x:is>
          <x:t xml:space="preserve">Guinea_2021</x:t>
        </x:is>
      </x:c>
      <x:c r="F20" t="inlineStr">
        <x:is>
          <x:t xml:space="preserve">N’Zérékoré</x:t>
        </x:is>
      </x:c>
      <x:c r="G20" t="inlineStr">
        <x:is>
          <x:t xml:space="preserve">ratio</x:t>
        </x:is>
      </x:c>
      <x:c r="H20" s="7" t="n"/>
      <x:c r="I20" s="6" t="n">
        <x:v>2</x:v>
      </x:c>
      <x:c r="J20" s="6" t="n">
        <x:v>5</x:v>
      </x:c>
      <x:c r="K20" s="8">
        <x:f>IF(G20="manual",H20,IF(G20="ratio",IFERROR(I20/J20,""),IF(G20="one_minus_ratio",IFERROR(1-(I20/J20),""),"")))</x:f>
        <x:v>0.4</x:v>
      </x:c>
      <x:c r="L20" t="inlineStr">
        <x:is>
          <x:t xml:space="preserve">proportion</x:t>
        </x:is>
      </x:c>
      <x:c r="M20" t="inlineStr">
        <x:is>
          <x:t xml:space="preserve">main_fit</x:t>
        </x:is>
      </x:c>
      <x:c r="N20" t="inlineStr">
        <x:is>
          <x:t xml:space="preserve">derived_direct</x:t>
        </x:is>
      </x:c>
      <x:c r="O20" t="inlineStr">
        <x:is>
          <x:t xml:space="preserve">YES</x:t>
        </x:is>
      </x:c>
      <x:c r="P20" s="9" t="n">
        <x:v>1</x:v>
      </x:c>
      <x:c r="Q20" t="inlineStr">
        <x:is>
          <x:t xml:space="preserve">down</x:t>
        </x:is>
      </x:c>
      <x:c r="R20" s="9" t="n">
        <x:v>0</x:v>
      </x:c>
      <x:c r="S20" s="9" t="n">
        <x:v>1</x:v>
      </x:c>
      <x:c r="T20" t="inlineStr">
        <x:is>
          <x:t xml:space="preserve">ECDC Guinea 2021 technical brief</x:t>
        </x:is>
      </x:c>
      <x:c r="U20" t="inlineStr">
        <x:is>
          <x:t xml:space="preserve">ECDC outbreak brief</x:t>
        </x:is>
      </x:c>
      <x:c r="V20" t="inlineStr">
        <x:is>
          <x:t xml:space="preserve">https://www.ecdc.europa.eu/sites/default/files/documents/Ebola-virus-disease-outbreak-in-Guinea-2021.pdf</x:t>
        </x:is>
      </x:c>
      <x:c r="W20" t="inlineStr">
        <x:is>
          <x:t xml:space="preserve">https://www.who.int/emergencies/disease-outbreak-news/item/2021-DON312</x:t>
        </x:is>
      </x:c>
      <x:c r="X20" t="inlineStr">
        <x:is>
          <x:t xml:space="preserve">The ECDC brief states that two unsafe burials occurred among five reported deaths early in the outbreak.</x:t>
        </x:is>
      </x:c>
      <x:c r="Y20" t="inlineStr">
        <x:is>
          <x:t xml:space="preserve">Direct unsafe funeral proportion derived as 2/5 = 0.40.</x:t>
        </x:is>
      </x:c>
    </x:row>
    <x:row r="21">
      <x:c r="A21" t="inlineStr">
        <x:is>
          <x:t xml:space="preserve">BEST_UFH_01</x:t>
        </x:is>
      </x:c>
      <x:c r="B21" t="inlineStr">
        <x:is>
          <x:t xml:space="preserve">p_unsafe_funeral_hosp</x:t>
        </x:is>
      </x:c>
      <x:c r="C21" s="4" t="n">
        <x:v>0</x:v>
      </x:c>
      <x:c r="D21" s="5" t="n">
        <x:v>44241</x:v>
      </x:c>
      <x:c r="E21" t="inlineStr">
        <x:is>
          <x:t xml:space="preserve">Guinea_2021</x:t>
        </x:is>
      </x:c>
      <x:c r="F21" t="inlineStr">
        <x:is>
          <x:t xml:space="preserve">N’Zérékoré</x:t>
        </x:is>
      </x:c>
      <x:c r="G21" t="inlineStr">
        <x:is>
          <x:t xml:space="preserve">manual</x:t>
        </x:is>
      </x:c>
      <x:c r="H21" s="6" t="n">
        <x:v>0.005</x:v>
      </x:c>
      <x:c r="I21" s="7" t="n"/>
      <x:c r="J21" s="7" t="n"/>
      <x:c r="K21" s="8">
        <x:f>IF(G21="manual",H21,IF(G21="ratio",IFERROR(I21/J21,""),IF(G21="one_minus_ratio",IFERROR(1-(I21/J21),""),"")))</x:f>
        <x:v>0.005</x:v>
      </x:c>
      <x:c r="L21" t="inlineStr">
        <x:is>
          <x:t xml:space="preserve">proportion</x:t>
        </x:is>
      </x:c>
      <x:c r="M21" t="inlineStr">
        <x:is>
          <x:t xml:space="preserve">structural</x:t>
        </x:is>
      </x:c>
      <x:c r="N21" t="inlineStr">
        <x:is>
          <x:t xml:space="preserve">structural_assumption</x:t>
        </x:is>
      </x:c>
      <x:c r="O21" t="inlineStr">
        <x:is>
          <x:t xml:space="preserve">YES</x:t>
        </x:is>
      </x:c>
      <x:c r="P21" s="9" t="n">
        <x:v>0.35</x:v>
      </x:c>
      <x:c r="Q21" t="inlineStr">
        <x:is>
          <x:t xml:space="preserve">down</x:t>
        </x:is>
      </x:c>
      <x:c r="R21" s="9" t="n">
        <x:v>0</x:v>
      </x:c>
      <x:c r="S21" s="9" t="n">
        <x:v>0.03</x:v>
      </x:c>
      <x:c r="T21" t="inlineStr">
        <x:is>
          <x:t xml:space="preserve">Guinea/Uganda/Rwanda/Tanzania best-case synthesis</x:t>
        </x:is>
      </x:c>
      <x:c r="U21" t="inlineStr">
        <x:is>
          <x:t xml:space="preserve">structural assumption with multi-source support</x:t>
        </x:is>
      </x:c>
      <x:c r="V21" t="inlineStr">
        <x:is>
          <x:t xml:space="preserve">https://www.who.int/emergencies/disease-outbreak-news/item/2022-DON428</x:t>
        </x:is>
      </x:c>
      <x:c r="W21" t="inlineStr">
        <x:is>
          <x:t xml:space="preserve">https://www.afro.who.int/sites/default/files/2025-07/Response%20to%20Marburg%20Virus%20Disease%20Outbreak%20in%20Tanzania.pdf</x:t>
        </x:is>
      </x:c>
      <x:c r="X21" t="inlineStr">
        <x:is>
          <x:t xml:space="preserve">Modern outbreak responses with organized SDB and treatment-unit pathways imply that unsafe burial after hospital death should be negligible.</x:t>
        </x:is>
      </x:c>
      <x:c r="Y21" t="inlineStr">
        <x:is>
          <x:t xml:space="preserve">Small early structural value for numerical stability.</x:t>
        </x:is>
      </x:c>
    </x:row>
    <x:row r="22">
      <x:c r="A22" t="inlineStr">
        <x:is>
          <x:t xml:space="preserve">BEST_UFH_02</x:t>
        </x:is>
      </x:c>
      <x:c r="B22" t="inlineStr">
        <x:is>
          <x:t xml:space="preserve">p_unsafe_funeral_hosp</x:t>
        </x:is>
      </x:c>
      <x:c r="C22" s="4" t="n">
        <x:v>11</x:v>
      </x:c>
      <x:c r="D22" s="5" t="n">
        <x:v>45017</x:v>
      </x:c>
      <x:c r="E22" t="inlineStr">
        <x:is>
          <x:t xml:space="preserve">Tanzania_MVD_2023</x:t>
        </x:is>
      </x:c>
      <x:c r="F22" t="inlineStr">
        <x:is>
          <x:t xml:space="preserve">Kagera, Tanzania</x:t>
        </x:is>
      </x:c>
      <x:c r="G22" t="inlineStr">
        <x:is>
          <x:t xml:space="preserve">manual</x:t>
        </x:is>
      </x:c>
      <x:c r="H22" s="6" t="n">
        <x:v>0</x:v>
      </x:c>
      <x:c r="I22" s="7" t="n"/>
      <x:c r="J22" s="7" t="n"/>
      <x:c r="K22" s="8">
        <x:f>IF(G22="manual",H22,IF(G22="ratio",IFERROR(I22/J22,""),IF(G22="one_minus_ratio",IFERROR(1-(I22/J22),""),"")))</x:f>
        <x:v>0</x:v>
      </x:c>
      <x:c r="L22" t="inlineStr">
        <x:is>
          <x:t xml:space="preserve">proportion</x:t>
        </x:is>
      </x:c>
      <x:c r="M22" t="inlineStr">
        <x:is>
          <x:t xml:space="preserve">structural</x:t>
        </x:is>
      </x:c>
      <x:c r="N22" t="inlineStr">
        <x:is>
          <x:t xml:space="preserve">direct_operational_report</x:t>
        </x:is>
      </x:c>
      <x:c r="O22" t="inlineStr">
        <x:is>
          <x:t xml:space="preserve">YES</x:t>
        </x:is>
      </x:c>
      <x:c r="P22" s="9" t="n">
        <x:v>0.35</x:v>
      </x:c>
      <x:c r="Q22" t="inlineStr">
        <x:is>
          <x:t xml:space="preserve">down</x:t>
        </x:is>
      </x:c>
      <x:c r="R22" s="9" t="n">
        <x:v>0</x:v>
      </x:c>
      <x:c r="S22" s="9" t="n">
        <x:v>0.03</x:v>
      </x:c>
      <x:c r="T22" t="inlineStr">
        <x:is>
          <x:t xml:space="preserve">Tanzania Marburg response report</x:t>
        </x:is>
      </x:c>
      <x:c r="U22" t="inlineStr">
        <x:is>
          <x:t xml:space="preserve">WHO/Afro response report</x:t>
        </x:is>
      </x:c>
      <x:c r="V22" t="inlineStr">
        <x:is>
          <x:t xml:space="preserve">https://www.afro.who.int/sites/default/files/2025-07/Response%20to%20Marburg%20Virus%20Disease%20Outbreak%20in%20Tanzania.pdf</x:t>
        </x:is>
      </x:c>
      <x:c r="X22" t="inlineStr">
        <x:is>
          <x:t xml:space="preserve">All burial activities were supervised by trained teams.</x:t>
        </x:is>
      </x:c>
      <x:c r="Y22" t="inlineStr">
        <x:is>
          <x:t xml:space="preserve">Late structural lower bound.</x:t>
        </x:is>
      </x:c>
    </x:row>
  </x:sheetData>
  <x:mergeCells>
    <x:mergeCell ref="A2:Y2"/>
    <x:mergeCell ref="A1:Y1"/>
  </x:mergeCells>
  <x:pageMargins left="0.7" right="0.7" top="0.75" bottom="0.75" header="0.3" footer="0.3"/>
  <x:tableParts count="1">
    <x:tablePart xmlns:r="http://schemas.openxmlformats.org/officeDocument/2006/relationships" r:id="R814b607081224494"/>
  </x:tableParts>
</x:worksheet>
</file>

<file path=xl/worksheets/sheet4.xml><?xml version="1.0" encoding="utf-8"?>
<x:worksheet xmlns:x="http://schemas.openxmlformats.org/spreadsheetml/2006/main">
  <x:sheetFormatPr baseColWidth="8" defaultRowHeight="15"/>
  <x:cols>
    <x:col min="1" max="1" width="28" customWidth="1"/>
    <x:col min="2" max="2" width="18" customWidth="1"/>
    <x:col min="3" max="3" width="10" customWidth="1"/>
    <x:col min="4" max="4" width="10" customWidth="1"/>
    <x:col min="5" max="5" width="10" customWidth="1"/>
    <x:col min="6" max="6" width="8" customWidth="1"/>
    <x:col min="7" max="7" width="14" customWidth="1"/>
    <x:col min="8" max="8" width="14" customWidth="1"/>
    <x:col min="9" max="9" width="13" customWidth="1"/>
    <x:col min="10" max="10" width="10" customWidth="1"/>
    <x:col min="11" max="11" width="90" customWidth="1"/>
  </x:cols>
  <x:sheetData>
    <x:row r="1" ht="22" customHeight="1">
      <x:c r="A1" s="1" t="inlineStr">
        <x:is>
          <x:t xml:space="preserve">Scenario curve settings</x:t>
        </x:is>
      </x:c>
      <x:c r="B1" t="inlineStr">
        <x:is>
          <x:t xml:space="preserve"/>
        </x:is>
      </x:c>
      <x:c r="C1" t="inlineStr">
        <x:is>
          <x:t xml:space="preserve"/>
        </x:is>
      </x:c>
      <x:c r="D1" t="inlineStr">
        <x:is>
          <x:t xml:space="preserve"/>
        </x:is>
      </x:c>
      <x:c r="E1" t="inlineStr">
        <x:is>
          <x:t xml:space="preserve"/>
        </x:is>
      </x:c>
      <x:c r="F1" t="inlineStr">
        <x:is>
          <x:t xml:space="preserve"/>
        </x:is>
      </x:c>
      <x:c r="G1" t="inlineStr">
        <x:is>
          <x:t xml:space="preserve"/>
        </x:is>
      </x:c>
      <x:c r="H1" t="inlineStr">
        <x:is>
          <x:t xml:space="preserve"/>
        </x:is>
      </x:c>
      <x:c r="I1" t="inlineStr">
        <x:is>
          <x:t xml:space="preserve"/>
        </x:is>
      </x:c>
      <x:c r="J1" t="inlineStr">
        <x:is>
          <x:t xml:space="preserve"/>
        </x:is>
      </x:c>
      <x:c r="K1" t="inlineStr">
        <x:is>
          <x:t xml:space="preserve"/>
        </x:is>
      </x:c>
    </x:row>
    <x:row r="2" ht="48" customHeight="1">
      <x:c r="A2" s="12" t="inlineStr">
        <x:is>
          <x:t xml:space="preserve">Supplementary control sheet for plot generation. Worst and middle scenarios remain fitted pooled-Q curves. Best_Composite uses a recreate_pooled latent Q(t) so that the clean curve starts high, improves modestly over the first weeks, stays bounded, and does not collapse to an almost constant line under the non-negative-slope pooled fit constraint.</x:t>
        </x:is>
      </x:c>
      <x:c r="B2" t="inlineStr">
        <x:is>
          <x:t xml:space="preserve"/>
        </x:is>
      </x:c>
      <x:c r="C2" t="inlineStr">
        <x:is>
          <x:t xml:space="preserve"/>
        </x:is>
      </x:c>
      <x:c r="D2" t="inlineStr">
        <x:is>
          <x:t xml:space="preserve"/>
        </x:is>
      </x:c>
      <x:c r="E2" t="inlineStr">
        <x:is>
          <x:t xml:space="preserve"/>
        </x:is>
      </x:c>
      <x:c r="F2" t="inlineStr">
        <x:is>
          <x:t xml:space="preserve"/>
        </x:is>
      </x:c>
      <x:c r="G2" t="inlineStr">
        <x:is>
          <x:t xml:space="preserve"/>
        </x:is>
      </x:c>
      <x:c r="H2" t="inlineStr">
        <x:is>
          <x:t xml:space="preserve"/>
        </x:is>
      </x:c>
      <x:c r="I2" t="inlineStr">
        <x:is>
          <x:t xml:space="preserve"/>
        </x:is>
      </x:c>
      <x:c r="J2" t="inlineStr">
        <x:is>
          <x:t xml:space="preserve"/>
        </x:is>
      </x:c>
    </x:row>
    <x:row r="3">
      <x:c r="A3" s="13" t="inlineStr">
        <x:is>
          <x:t xml:space="preserve">scenario</x:t>
        </x:is>
      </x:c>
      <x:c r="B3" s="13" t="inlineStr">
        <x:is>
          <x:t xml:space="preserve">curve_mode</x:t>
        </x:is>
      </x:c>
      <x:c r="C3" s="13" t="inlineStr">
        <x:is>
          <x:t xml:space="preserve">q_lower</x:t>
        </x:is>
      </x:c>
      <x:c r="D3" s="13" t="inlineStr">
        <x:is>
          <x:t xml:space="preserve">q_upper</x:t>
        </x:is>
      </x:c>
      <x:c r="E3" s="13" t="inlineStr">
        <x:is>
          <x:t xml:space="preserve">t_mid_day</x:t>
        </x:is>
      </x:c>
      <x:c r="F3" s="13" t="inlineStr">
        <x:is>
          <x:t xml:space="preserve">k</x:t>
        </x:is>
      </x:c>
      <x:c r="G3" s="13" t="inlineStr">
        <x:is>
          <x:t xml:space="preserve">boot_q_lower_sd</x:t>
        </x:is>
      </x:c>
      <x:c r="H3" s="13" t="inlineStr">
        <x:is>
          <x:t xml:space="preserve">boot_q_upper_sd</x:t>
        </x:is>
      </x:c>
      <x:c r="I3" s="13" t="inlineStr">
        <x:is>
          <x:t xml:space="preserve">boot_t_mid_sd</x:t>
        </x:is>
      </x:c>
      <x:c r="J3" s="13" t="inlineStr">
        <x:is>
          <x:t xml:space="preserve">boot_k_sd</x:t>
        </x:is>
      </x:c>
      <x:c r="K3" s="13" t="inlineStr">
        <x:is>
          <x:t xml:space="preserve">notes</x:t>
        </x:is>
      </x:c>
    </x:row>
    <x:row r="4">
      <x:c r="A4" t="inlineStr">
        <x:is>
          <x:t xml:space="preserve">Worst_WestAfrica</x:t>
        </x:is>
      </x:c>
      <x:c r="B4" t="inlineStr">
        <x:is>
          <x:t xml:space="preserve">fit_pooled</x:t>
        </x:is>
      </x:c>
      <x:c r="C4" t="inlineStr">
        <x:is>
          <x:t xml:space="preserve"/>
        </x:is>
      </x:c>
      <x:c r="D4" t="inlineStr">
        <x:is>
          <x:t xml:space="preserve"/>
        </x:is>
      </x:c>
      <x:c r="E4" t="inlineStr">
        <x:is>
          <x:t xml:space="preserve"/>
        </x:is>
      </x:c>
      <x:c r="F4" t="inlineStr">
        <x:is>
          <x:t xml:space="preserve"/>
        </x:is>
      </x:c>
      <x:c r="G4" t="inlineStr">
        <x:is>
          <x:t xml:space="preserve"/>
        </x:is>
      </x:c>
      <x:c r="H4" t="inlineStr">
        <x:is>
          <x:t xml:space="preserve"/>
        </x:is>
      </x:c>
      <x:c r="I4" t="inlineStr">
        <x:is>
          <x:t xml:space="preserve"/>
        </x:is>
      </x:c>
      <x:c r="J4" t="inlineStr">
        <x:is>
          <x:t xml:space="preserve"/>
        </x:is>
      </x:c>
      <x:c r="K4" t="inlineStr">
        <x:is>
          <x:t xml:space="preserve">Use pooled fitted Q(t) from audited literature anchors.</x:t>
        </x:is>
      </x:c>
    </x:row>
    <x:row r="5">
      <x:c r="A5" t="inlineStr">
        <x:is>
          <x:t xml:space="preserve">Middle_DRC_2018_2019</x:t>
        </x:is>
      </x:c>
      <x:c r="B5" t="inlineStr">
        <x:is>
          <x:t xml:space="preserve">fit_pooled</x:t>
        </x:is>
      </x:c>
      <x:c r="C5" t="inlineStr">
        <x:is>
          <x:t xml:space="preserve"/>
        </x:is>
      </x:c>
      <x:c r="D5" t="inlineStr">
        <x:is>
          <x:t xml:space="preserve"/>
        </x:is>
      </x:c>
      <x:c r="E5" t="inlineStr">
        <x:is>
          <x:t xml:space="preserve"/>
        </x:is>
      </x:c>
      <x:c r="F5" t="inlineStr">
        <x:is>
          <x:t xml:space="preserve"/>
        </x:is>
      </x:c>
      <x:c r="G5" t="inlineStr">
        <x:is>
          <x:t xml:space="preserve"/>
        </x:is>
      </x:c>
      <x:c r="H5" t="inlineStr">
        <x:is>
          <x:t xml:space="preserve"/>
        </x:is>
      </x:c>
      <x:c r="I5" t="inlineStr">
        <x:is>
          <x:t xml:space="preserve"/>
        </x:is>
      </x:c>
      <x:c r="J5" t="inlineStr">
        <x:is>
          <x:t xml:space="preserve"/>
        </x:is>
      </x:c>
      <x:c r="K5" t="inlineStr">
        <x:is>
          <x:t xml:space="preserve">Use pooled fitted Q(t) from audited literature anchors.</x:t>
        </x:is>
      </x:c>
    </x:row>
    <x:row r="6">
      <x:c r="A6" t="inlineStr">
        <x:is>
          <x:t xml:space="preserve">Best_Composite</x:t>
        </x:is>
      </x:c>
      <x:c r="B6" t="inlineStr">
        <x:is>
          <x:t xml:space="preserve">recreate_pooled</x:t>
        </x:is>
      </x:c>
      <x:c r="C6" t="n">
        <x:v>0.72</x:v>
      </x:c>
      <x:c r="D6" t="n">
        <x:v>0.92</x:v>
      </x:c>
      <x:c r="E6" t="n">
        <x:v>18</x:v>
      </x:c>
      <x:c r="F6" t="n">
        <x:v>0.08</x:v>
      </x:c>
      <x:c r="G6" t="n">
        <x:v>0.03</x:v>
      </x:c>
      <x:c r="H6" t="n">
        <x:v>0.02</x:v>
      </x:c>
      <x:c r="I6" t="n">
        <x:v>6</x:v>
      </x:c>
      <x:c r="J6" t="n">
        <x:v>0.015</x:v>
      </x:c>
      <x:c r="K6" t="inlineStr">
        <x:is>
          <x:t xml:space="preserve">Manual pooled-Q recreate for best-case composite. Starts high because the composite evidence is already near the good-response end at day 0; capped below 1 to avoid implying perfect control; midpoint placed in the first 2-3 weeks to allow modest early improvement; uncertainty bands come from bootstrap perturbation of these control values.</x:t>
        </x:is>
      </x:c>
    </x:row>
  </x:sheetData>
  <x:pageMargins left="0.7" right="0.7" top="0.75" bottom="0.75" header="0.3" footer="0.3"/>
</x:worksheet>
</file>